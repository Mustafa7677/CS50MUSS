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қы мені" state="visible" r:id="rId4"/>
    <sheet sheetId="2" name="Болжамдар" state="visible" r:id="rId5"/>
    <sheet sheetId="3" name="Кіріс" state="visible" r:id="rId6"/>
    <sheet sheetId="4" name="Шығын" state="visible" r:id="rId7"/>
    <sheet sheetId="5" name="P&amp;L" state="visible" r:id="rId8"/>
    <sheet sheetId="6" name="Cash және runway" state="visible" r:id="rId9"/>
    <sheet sheetId="7" name="Бірлік экономикасы" state="visible" r:id="rId10"/>
    <sheet sheetId="8" name="Сезімталдық кестесі" state="visible" r:id="rId11"/>
  </sheets>
  <calcPr calcId="171027" fullCalcOnLoad="1"/>
</workbook>
</file>

<file path=xl/sharedStrings.xml><?xml version="1.0" encoding="utf-8"?>
<sst xmlns="http://schemas.openxmlformats.org/spreadsheetml/2006/main" count="320" uniqueCount="161">
  <si>
    <t>ГИПОТЕЗА, ТОЛТЫРЫЛМАҒАН БОЛЖАМДАР</t>
  </si>
  <si>
    <t>Бұл файл - ШАБЛОН. Ішінде нақты баға, клиент, табыс, нарық көлемі не өсім жоқ: олар әлі белгісіз (QazaqCode пилотқа дейінгі сатыда, төленген клиент жоқ).</t>
  </si>
  <si>
    <t>Нәтижелер (кіріс, P&amp;L, runway, LTV/CAC) тек сіз енгізген гипотезаларға тәуелді. Болжамдарды толтырмай тұрып барлығы 0 немесе "—" болады: бұл дұрыс.</t>
  </si>
  <si>
    <t/>
  </si>
  <si>
    <t>Қалай қолдану</t>
  </si>
  <si>
    <t>1. 'Болжамдар' парағында ЖЕЛТОҚ ұяшықтарды (көк қаріп) толтырыңыз: үш сценарий үшін бөлек (консервативті / базалық / оптимистік).</t>
  </si>
  <si>
    <t>2. Жоғарғы ұяшықтан белсенді сценарийді таңдаңыз. Шығын, P&amp;L, Cash, Бірлік экономикасы таңдалған сценарийді көрсетеді; 'Кіріс' парағында үш сценарий да бөлек есептеледі.</t>
  </si>
  <si>
    <t>3. Баға мен шығынды ПИЛОТТАН кейінгі нақты деректермен ауыстырыңыз. Дереккөзсіз сан енгізбеңіз немесе енгізсеңіз, дереккөзін ескертуге жазыңыз.</t>
  </si>
  <si>
    <t>Түс кодтары</t>
  </si>
  <si>
    <t>Көк қаріп + жолақты сары фон = КІРІС ұяшығы (гипотеза, пайдаланушы енгізеді).</t>
  </si>
  <si>
    <t>Қара қаріп = ФОРМУЛА (қолмен өзгертпеңіз).</t>
  </si>
  <si>
    <t>Шектеулер</t>
  </si>
  <si>
    <t>- Модель жеңілдетілген: мектеп = бір жылдық лицензия, төлем ай сайын бөлінген (MRR = мектеп x оқушы x жылдық баға / 12).</t>
  </si>
  <si>
    <t>- Салық, амортизация, ҚҚС, валюта бағамы, маусымдылық (оқу жылы) есепке алынбаған.</t>
  </si>
  <si>
    <t>- Бұл инвестициялық ұсыныс не болжам емес; есептеу құралы.</t>
  </si>
  <si>
    <t>- Пилот сатысында: [docs/INVESTOR.md] ішіндегі бизнес-модель - гипотеза.</t>
  </si>
  <si>
    <t>Болжамдар (ГИПОТЕЗА: толтырылмаған)</t>
  </si>
  <si>
    <t>Белсенді сценарий:</t>
  </si>
  <si>
    <t>Базалық</t>
  </si>
  <si>
    <t>индекс:</t>
  </si>
  <si>
    <t>Барлық желтоқ ұяшық - ГИПОТЕЗА. Бос = әлі белгісіз (есептеуде 0). Дереккөзін G бағанына жазыңыз.</t>
  </si>
  <si>
    <t>Параметр</t>
  </si>
  <si>
    <t>Бірлік</t>
  </si>
  <si>
    <t>Консервативті</t>
  </si>
  <si>
    <t>Оптимистік</t>
  </si>
  <si>
    <t>Белсенді</t>
  </si>
  <si>
    <t>Ескерту</t>
  </si>
  <si>
    <t>Баға және клиенттер</t>
  </si>
  <si>
    <t>Баға: 1 оқушы / жыл</t>
  </si>
  <si>
    <t>₸</t>
  </si>
  <si>
    <t>ГИПОТЕЗА: толтырыңыз (0 / бос)</t>
  </si>
  <si>
    <t>Оқушы саны / мектеп</t>
  </si>
  <si>
    <t>оқушы</t>
  </si>
  <si>
    <t>Бастапқы төлеуші мектеп саны (1-айда)</t>
  </si>
  <si>
    <t>мектеп</t>
  </si>
  <si>
    <t>Воронка (сату)</t>
  </si>
  <si>
    <t>Жаңа лид (мектеп сұрауы) / ай</t>
  </si>
  <si>
    <t>лид</t>
  </si>
  <si>
    <t>Лид -&gt; пилот конверсиясы</t>
  </si>
  <si>
    <t>%</t>
  </si>
  <si>
    <t>Пилот -&gt; төлеуші конверсиясы</t>
  </si>
  <si>
    <t>Пилоттан төлеушіге дейінгі кідіріс</t>
  </si>
  <si>
    <t>ай</t>
  </si>
  <si>
    <t>Айлық churn (төлеуші мектептер)</t>
  </si>
  <si>
    <t>%/ай</t>
  </si>
  <si>
    <t>Ауыспалы шығындар</t>
  </si>
  <si>
    <t>Хостинг шығыны / мектеп / ай</t>
  </si>
  <si>
    <t>Қолдау сағаты / мектеп / ай</t>
  </si>
  <si>
    <t>сағат</t>
  </si>
  <si>
    <t>Қолдау сағатының құны</t>
  </si>
  <si>
    <t>₸/сағат</t>
  </si>
  <si>
    <t>Төлем комиссиясы және салық (кірістен)</t>
  </si>
  <si>
    <t>Тұрақты шығындар (ай сайын)</t>
  </si>
  <si>
    <t>Тұрақты хостинг / инфрақұрылым / ай</t>
  </si>
  <si>
    <t>Қызметкер саны (жалақы алатын)</t>
  </si>
  <si>
    <t>адам</t>
  </si>
  <si>
    <t>Орташа жалақы / адам / ай</t>
  </si>
  <si>
    <t>Заңгер / ай</t>
  </si>
  <si>
    <t>Маркетинг және сату / ай</t>
  </si>
  <si>
    <t>Қаржы</t>
  </si>
  <si>
    <t>Бастапқы касса (0-ай)</t>
  </si>
  <si>
    <t>Кіріс (36 ай): MRR / ARR</t>
  </si>
  <si>
    <t>ГИПОТЕЗА: барлық болжам 'Болжамдар' парағынан; толтырылмаса 0.</t>
  </si>
  <si>
    <t>Көрсеткіш</t>
  </si>
  <si>
    <t>Жиыны / соңы</t>
  </si>
  <si>
    <t>БЕЛСЕНДІ сценарий (Болжамдар!B2 таңдауы)</t>
  </si>
  <si>
    <t>Жаңа лид</t>
  </si>
  <si>
    <t>Жаңа пилот</t>
  </si>
  <si>
    <t>Жаңа төлеуші мектеп</t>
  </si>
  <si>
    <t>Кеткен (churn) мектеп</t>
  </si>
  <si>
    <t>Белсенді төлеуші мектеп</t>
  </si>
  <si>
    <t>Төлеуші оқушылар</t>
  </si>
  <si>
    <t>MRR</t>
  </si>
  <si>
    <t>₸/ай</t>
  </si>
  <si>
    <t>ARR (= MRR x 12)</t>
  </si>
  <si>
    <t>₸/жыл</t>
  </si>
  <si>
    <t>Кіріс (ай)</t>
  </si>
  <si>
    <t>Сценарий: Консервативті</t>
  </si>
  <si>
    <t>Сценарий: Базалық</t>
  </si>
  <si>
    <t>Сценарий: Оптимистік</t>
  </si>
  <si>
    <t>Шығын (белсенді сценарий, 36 ай)</t>
  </si>
  <si>
    <t>ГИПОТЕЗА: шығын мөлшері Болжамдар парағынан; толтырылмаса 0.</t>
  </si>
  <si>
    <t>Шығын түрі</t>
  </si>
  <si>
    <t>Кіріс</t>
  </si>
  <si>
    <t>Хостинг: ауыспалы (мектепке)</t>
  </si>
  <si>
    <t>Хостинг: тұрақты</t>
  </si>
  <si>
    <t>Қолдау (сағат x құны)</t>
  </si>
  <si>
    <t>Жалақы</t>
  </si>
  <si>
    <t>Заңгер</t>
  </si>
  <si>
    <t>Маркетинг және сату</t>
  </si>
  <si>
    <t>Төлем комиссиясы және салық</t>
  </si>
  <si>
    <t>ЖИЫНЫ шығын</t>
  </si>
  <si>
    <t>P&amp;L (белсенді сценарий)</t>
  </si>
  <si>
    <t>ГИПОТЕЗА: барлық сан формуладан; Болжамдар толтырылмаса 0.</t>
  </si>
  <si>
    <t>Жылдық қорытынды</t>
  </si>
  <si>
    <t>1-жыл</t>
  </si>
  <si>
    <t>2-жыл</t>
  </si>
  <si>
    <t>3-жыл</t>
  </si>
  <si>
    <t>Тікелей шығын</t>
  </si>
  <si>
    <t>Жалпы пайда</t>
  </si>
  <si>
    <t>Операциялық шығын</t>
  </si>
  <si>
    <t>Комиссия және салық</t>
  </si>
  <si>
    <t>Таза нәтиже</t>
  </si>
  <si>
    <t>Жалпы маржа</t>
  </si>
  <si>
    <t>Сценарий салыстыруы (тек кіріс жағы)</t>
  </si>
  <si>
    <t>36-ай ARR</t>
  </si>
  <si>
    <t>36-айдағы төлеуші мектеп</t>
  </si>
  <si>
    <t>36 айдағы жиынтық кіріс</t>
  </si>
  <si>
    <t>Айлық P&amp;L</t>
  </si>
  <si>
    <t>Тікелей шығын (хостинг + қолдау)</t>
  </si>
  <si>
    <t>Операциялық шығын (жалақы, заңгер, маркетинг)</t>
  </si>
  <si>
    <t>Таза нәтиже (EBITDA-ға жақын)</t>
  </si>
  <si>
    <t>Cash және runway (белсенді сценарий)</t>
  </si>
  <si>
    <t>ГИПОТЕЗА: бастапқы касса Болжамдар парағында; бос болса 0.</t>
  </si>
  <si>
    <t>Ай басындағы касса</t>
  </si>
  <si>
    <t>Таза нәтиже (P&amp;L)</t>
  </si>
  <si>
    <t>Ай соңындағы касса</t>
  </si>
  <si>
    <t>Burn (таза шығыс)</t>
  </si>
  <si>
    <t>Орташа burn (соңғы 3 ай)</t>
  </si>
  <si>
    <t>Runway (ай)</t>
  </si>
  <si>
    <t>Касса теріс (1 = иә)</t>
  </si>
  <si>
    <t>флаг</t>
  </si>
  <si>
    <t>Ең төмен касса деңгейі</t>
  </si>
  <si>
    <t>Касса теріс болатын алғашқы ай</t>
  </si>
  <si>
    <t>Қосымша қаржы қажеттілігі (ең төмен касса теріс болса)</t>
  </si>
  <si>
    <t>36-ай соңындағы касса</t>
  </si>
  <si>
    <t>Ескерту: runway 3 айлық орташа burn бойынша; пайдалы ай болса '-' (burn жоқ).</t>
  </si>
  <si>
    <t>Бірлік экономикасы (белсенді сценарий)</t>
  </si>
  <si>
    <t>ГИПОТЕЗА: барлығы Болжамдардан; бөлгіш 0 болса '-' шығады (қате емес).</t>
  </si>
  <si>
    <t>Мәні</t>
  </si>
  <si>
    <t>Формула / түсінік</t>
  </si>
  <si>
    <t>ARPA: 1 мектептен ай сайынғы кіріс</t>
  </si>
  <si>
    <t>оқушы x баға / 12</t>
  </si>
  <si>
    <t>Хостинг (ауыспалы) / мектеп</t>
  </si>
  <si>
    <t>Қолдау / мектеп</t>
  </si>
  <si>
    <t>сағат x сағат құны</t>
  </si>
  <si>
    <t>Комиссия және салық / мектеп</t>
  </si>
  <si>
    <t>ARPA x %</t>
  </si>
  <si>
    <t>Жарна маржасы / мектеп</t>
  </si>
  <si>
    <t>ARPA - ауыспалы шығындар</t>
  </si>
  <si>
    <t>Айлық churn</t>
  </si>
  <si>
    <t>Күтілетін өмір ұзақтығы</t>
  </si>
  <si>
    <t>1 / churn (churn = 0 болса '-')</t>
  </si>
  <si>
    <t>LTV (жарна маржасы бойынша)</t>
  </si>
  <si>
    <t>жарна маржасы / churn</t>
  </si>
  <si>
    <t>CAC: 1 жаңа төлеуші мектепке сату шығыны</t>
  </si>
  <si>
    <t>36 ай маркетингі / 36 айдағы жаңа төлеуші мектеп</t>
  </si>
  <si>
    <t>LTV / CAC</t>
  </si>
  <si>
    <t>x</t>
  </si>
  <si>
    <t>CAC өтелу мерзімі (payback)</t>
  </si>
  <si>
    <t>CAC / айлық жарна маржасы</t>
  </si>
  <si>
    <t>Орташа тұрақты шығын</t>
  </si>
  <si>
    <t>36 айдың орташасы</t>
  </si>
  <si>
    <t>Нөлге шығу үшін мектеп саны (break-even)</t>
  </si>
  <si>
    <t>тұрақты шығын / жарна маржасы</t>
  </si>
  <si>
    <t>Сезімталдық кестесі (белсенді сценарий)</t>
  </si>
  <si>
    <t>Көлденең/тік ось мәндерін ӨЗІҢІЗ енгізіңіз (ГИПОТЕЗА). Бос ось = 0.</t>
  </si>
  <si>
    <t>1) 36-айдағы ARR (₸): белсенді мектеп x оқушы x баға</t>
  </si>
  <si>
    <t>Баға (₸/оқушы/жыл) ↓   |   Оқушы/мектеп →</t>
  </si>
  <si>
    <t>2) 36-айдағы айлық таза нәтиже (₸): кіріс x (1 - комиссия) - басқа шығындар</t>
  </si>
  <si>
    <t>Ескерту: ось бос болса кесте 0 немесе тек шығынды көрсетеді. Шығын жағы Болжамдардан келеді.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</si>
</sst>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#,##0.0"/>
    <numFmt numFmtId="166" formatCode="&quot;Ай &quot;0"/>
    <numFmt numFmtId="167" formatCode="0.0"/>
  </numFmts>
  <fonts count="14" x14ac:knownFonts="1">
    <font>
      <color theme="1"/>
      <family val="2"/>
      <scheme val="minor"/>
      <sz val="11"/>
      <name val="Calibri"/>
    </font>
    <font>
      <b/>
      <color rgb="FFC00000"/>
      <sz val="18"/>
    </font>
    <font>
      <b/>
      <color rgb="FFC00000"/>
    </font>
    <font/>
    <font>
      <b/>
    </font>
    <font>
      <color rgb="FF0000FF"/>
    </font>
    <font>
      <b/>
      <color rgb="FF1F4FD8"/>
      <sz val="14"/>
    </font>
    <font>
      <b/>
      <color rgb="FF0000FF"/>
    </font>
    <font>
      <color rgb="FF000000"/>
    </font>
    <font>
      <i/>
      <color rgb="FFC00000"/>
    </font>
    <font>
      <i/>
      <color rgb="FF7F7F7F"/>
    </font>
    <font>
      <b/>
      <color rgb="FF1F4FD8"/>
      <sz val="12"/>
    </font>
    <font>
      <i/>
    </font>
    <font>
      <b/>
      <color rgb="FF1F4FD8"/>
    </font>
  </fonts>
  <fills count="5">
    <fill>
      <patternFill patternType="none"/>
    </fill>
    <fill>
      <patternFill patternType="gray125"/>
    </fill>
    <fill>
      <patternFill patternType="solid">
        <fgColor rgb="FFFFE9A8"/>
      </patternFill>
    </fill>
    <fill>
      <patternFill patternType="solid">
        <fgColor rgb="FFE8EEFB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4" fillId="0" borderId="0" xfId="0" applyFont="1"/>
    <xf numFmtId="0" fontId="7" fillId="2" borderId="1" xfId="0" applyFont="1" applyFill="1" applyBorder="1"/>
    <xf numFmtId="0" fontId="0" fillId="0" borderId="0" xfId="0" applyAlignment="1">
      <alignment horizontal="right"/>
    </xf>
    <xf numFmtId="0" fontId="8" fillId="0" borderId="1" xfId="0" applyFont="1" applyBorder="1"/>
    <xf numFmtId="0" fontId="9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0" fillId="4" borderId="0" xfId="0" applyFill="1"/>
    <xf numFmtId="3" fontId="5" fillId="2" borderId="1" xfId="0" applyNumberFormat="1" applyFont="1" applyFill="1" applyBorder="1"/>
    <xf numFmtId="3" fontId="8" fillId="0" borderId="1" xfId="0" applyNumberFormat="1" applyFont="1" applyBorder="1"/>
    <xf numFmtId="0" fontId="10" fillId="0" borderId="0" xfId="0" applyFont="1"/>
    <xf numFmtId="164" fontId="5" fillId="2" borderId="1" xfId="0" applyNumberFormat="1" applyFont="1" applyFill="1" applyBorder="1"/>
    <xf numFmtId="164" fontId="8" fillId="0" borderId="1" xfId="0" applyNumberFormat="1" applyFont="1" applyBorder="1"/>
    <xf numFmtId="1" fontId="5" fillId="2" borderId="1" xfId="0" applyNumberFormat="1" applyFont="1" applyFill="1" applyBorder="1"/>
    <xf numFmtId="1" fontId="8" fillId="0" borderId="1" xfId="0" applyNumberFormat="1" applyFont="1" applyBorder="1"/>
    <xf numFmtId="165" fontId="5" fillId="2" borderId="1" xfId="0" applyNumberFormat="1" applyFont="1" applyFill="1" applyBorder="1"/>
    <xf numFmtId="165" fontId="8" fillId="0" borderId="1" xfId="0" applyNumberFormat="1" applyFont="1" applyBorder="1"/>
    <xf numFmtId="166" fontId="4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" fillId="0" borderId="0" xfId="0" applyFont="1"/>
    <xf numFmtId="3" fontId="4" fillId="0" borderId="1" xfId="0" applyNumberFormat="1" applyFont="1" applyBorder="1"/>
    <xf numFmtId="167" fontId="8" fillId="0" borderId="1" xfId="0" applyNumberFormat="1" applyFont="1" applyBorder="1"/>
    <xf numFmtId="0" fontId="12" fillId="0" borderId="0" xfId="0" applyFont="1"/>
    <xf numFmtId="2" fontId="8" fillId="0" borderId="1" xfId="0" applyNumberFormat="1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18"/>
  <sheetFormatPr defaultRowHeight="15" outlineLevelRow="0" outlineLevelCol="0" x14ac:dyDescent="55"/>
  <cols>
    <col min="1" max="1" width="110" customWidth="1"/>
  </cols>
  <sheetData>
    <row r="1" ht="30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4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3</v>
      </c>
    </row>
    <row r="10" spans="1:1" x14ac:dyDescent="0.25">
      <c r="A10" s="4" t="s">
        <v>8</v>
      </c>
    </row>
    <row r="11" spans="1:1" x14ac:dyDescent="0.25">
      <c r="A11" s="5" t="s">
        <v>9</v>
      </c>
    </row>
    <row r="12" spans="1:1" x14ac:dyDescent="0.25">
      <c r="A12" s="3" t="s">
        <v>10</v>
      </c>
    </row>
    <row r="13" spans="1:1" x14ac:dyDescent="0.25">
      <c r="A13" s="3" t="s">
        <v>3</v>
      </c>
    </row>
    <row r="14" spans="1:1" x14ac:dyDescent="0.25">
      <c r="A14" s="4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2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46" customWidth="1"/>
    <col min="2" max="2" width="12" customWidth="1"/>
    <col min="3" max="6" width="16" customWidth="1"/>
    <col min="7" max="7" width="44" customWidth="1"/>
  </cols>
  <sheetData>
    <row r="1" spans="1:1" x14ac:dyDescent="0.25">
      <c r="A1" s="6" t="s">
        <v>16</v>
      </c>
    </row>
    <row r="2" spans="1:4" x14ac:dyDescent="0.25">
      <c r="A2" s="7" t="s">
        <v>17</v>
      </c>
      <c r="B2" s="8" t="s">
        <v>18</v>
      </c>
      <c r="C2" s="9" t="s">
        <v>19</v>
      </c>
      <c r="D2" s="10">
        <f>IFERROR(MATCH($B$2,$C$4:$E$4,0),2)</f>
      </c>
    </row>
    <row r="3" spans="1:1" x14ac:dyDescent="0.25">
      <c r="A3" s="11" t="s">
        <v>20</v>
      </c>
    </row>
    <row r="4" spans="1:7" x14ac:dyDescent="0.25">
      <c r="A4" s="12" t="s">
        <v>21</v>
      </c>
      <c r="B4" s="12" t="s">
        <v>22</v>
      </c>
      <c r="C4" s="12" t="s">
        <v>23</v>
      </c>
      <c r="D4" s="12" t="s">
        <v>18</v>
      </c>
      <c r="E4" s="12" t="s">
        <v>24</v>
      </c>
      <c r="F4" s="12" t="s">
        <v>25</v>
      </c>
      <c r="G4" s="12" t="s">
        <v>26</v>
      </c>
    </row>
    <row r="5" spans="1:7" x14ac:dyDescent="0.25">
      <c r="A5" s="13" t="s">
        <v>27</v>
      </c>
      <c r="B5" s="14"/>
      <c r="C5" s="14"/>
      <c r="D5" s="14"/>
      <c r="E5" s="14"/>
      <c r="F5" s="14"/>
      <c r="G5" s="14"/>
    </row>
    <row r="6" spans="1:7" x14ac:dyDescent="0.25">
      <c r="A6" t="s">
        <v>28</v>
      </c>
      <c r="B6" t="s">
        <v>29</v>
      </c>
      <c r="C6" s="15"/>
      <c r="D6" s="15"/>
      <c r="E6" s="15"/>
      <c r="F6" s="16">
        <f>INDEX(C6:E6,1,$D$2)</f>
      </c>
      <c r="G6" s="17" t="s">
        <v>30</v>
      </c>
    </row>
    <row r="7" spans="1:7" x14ac:dyDescent="0.25">
      <c r="A7" t="s">
        <v>31</v>
      </c>
      <c r="B7" t="s">
        <v>32</v>
      </c>
      <c r="C7" s="15"/>
      <c r="D7" s="15"/>
      <c r="E7" s="15"/>
      <c r="F7" s="16">
        <f>INDEX(C7:E7,1,$D$2)</f>
      </c>
      <c r="G7" s="17" t="s">
        <v>30</v>
      </c>
    </row>
    <row r="8" spans="1:7" x14ac:dyDescent="0.25">
      <c r="A8" t="s">
        <v>33</v>
      </c>
      <c r="B8" t="s">
        <v>34</v>
      </c>
      <c r="C8" s="15"/>
      <c r="D8" s="15"/>
      <c r="E8" s="15"/>
      <c r="F8" s="16">
        <f>INDEX(C8:E8,1,$D$2)</f>
      </c>
      <c r="G8" s="17" t="s">
        <v>30</v>
      </c>
    </row>
    <row r="9" spans="1:7" x14ac:dyDescent="0.25">
      <c r="A9" s="13" t="s">
        <v>35</v>
      </c>
      <c r="B9" s="14"/>
      <c r="C9" s="14"/>
      <c r="D9" s="14"/>
      <c r="E9" s="14"/>
      <c r="F9" s="14"/>
      <c r="G9" s="14"/>
    </row>
    <row r="10" spans="1:7" x14ac:dyDescent="0.25">
      <c r="A10" t="s">
        <v>36</v>
      </c>
      <c r="B10" t="s">
        <v>37</v>
      </c>
      <c r="C10" s="15"/>
      <c r="D10" s="15"/>
      <c r="E10" s="15"/>
      <c r="F10" s="16">
        <f>INDEX(C10:E10,1,$D$2)</f>
      </c>
      <c r="G10" s="17" t="s">
        <v>30</v>
      </c>
    </row>
    <row r="11" spans="1:7" x14ac:dyDescent="0.25">
      <c r="A11" t="s">
        <v>38</v>
      </c>
      <c r="B11" t="s">
        <v>39</v>
      </c>
      <c r="C11" s="18"/>
      <c r="D11" s="18"/>
      <c r="E11" s="18"/>
      <c r="F11" s="19">
        <f>INDEX(C11:E11,1,$D$2)</f>
      </c>
      <c r="G11" s="17" t="s">
        <v>30</v>
      </c>
    </row>
    <row r="12" spans="1:7" x14ac:dyDescent="0.25">
      <c r="A12" t="s">
        <v>40</v>
      </c>
      <c r="B12" t="s">
        <v>39</v>
      </c>
      <c r="C12" s="18"/>
      <c r="D12" s="18"/>
      <c r="E12" s="18"/>
      <c r="F12" s="19">
        <f>INDEX(C12:E12,1,$D$2)</f>
      </c>
      <c r="G12" s="17" t="s">
        <v>30</v>
      </c>
    </row>
    <row r="13" spans="1:7" x14ac:dyDescent="0.25">
      <c r="A13" t="s">
        <v>41</v>
      </c>
      <c r="B13" t="s">
        <v>42</v>
      </c>
      <c r="C13" s="20"/>
      <c r="D13" s="20"/>
      <c r="E13" s="20"/>
      <c r="F13" s="21">
        <f>INDEX(C13:E13,1,$D$2)</f>
      </c>
      <c r="G13" s="17" t="s">
        <v>30</v>
      </c>
    </row>
    <row r="14" spans="1:7" x14ac:dyDescent="0.25">
      <c r="A14" t="s">
        <v>43</v>
      </c>
      <c r="B14" t="s">
        <v>44</v>
      </c>
      <c r="C14" s="18"/>
      <c r="D14" s="18"/>
      <c r="E14" s="18"/>
      <c r="F14" s="19">
        <f>INDEX(C14:E14,1,$D$2)</f>
      </c>
      <c r="G14" s="17" t="s">
        <v>30</v>
      </c>
    </row>
    <row r="15" spans="1:7" x14ac:dyDescent="0.25">
      <c r="A15" s="13" t="s">
        <v>45</v>
      </c>
      <c r="B15" s="14"/>
      <c r="C15" s="14"/>
      <c r="D15" s="14"/>
      <c r="E15" s="14"/>
      <c r="F15" s="14"/>
      <c r="G15" s="14"/>
    </row>
    <row r="16" spans="1:7" x14ac:dyDescent="0.25">
      <c r="A16" t="s">
        <v>46</v>
      </c>
      <c r="B16" t="s">
        <v>29</v>
      </c>
      <c r="C16" s="15"/>
      <c r="D16" s="15"/>
      <c r="E16" s="15"/>
      <c r="F16" s="16">
        <f>INDEX(C16:E16,1,$D$2)</f>
      </c>
      <c r="G16" s="17" t="s">
        <v>30</v>
      </c>
    </row>
    <row r="17" spans="1:7" x14ac:dyDescent="0.25">
      <c r="A17" t="s">
        <v>47</v>
      </c>
      <c r="B17" t="s">
        <v>48</v>
      </c>
      <c r="C17" s="22"/>
      <c r="D17" s="22"/>
      <c r="E17" s="22"/>
      <c r="F17" s="23">
        <f>INDEX(C17:E17,1,$D$2)</f>
      </c>
      <c r="G17" s="17" t="s">
        <v>30</v>
      </c>
    </row>
    <row r="18" spans="1:7" x14ac:dyDescent="0.25">
      <c r="A18" t="s">
        <v>49</v>
      </c>
      <c r="B18" t="s">
        <v>50</v>
      </c>
      <c r="C18" s="15"/>
      <c r="D18" s="15"/>
      <c r="E18" s="15"/>
      <c r="F18" s="16">
        <f>INDEX(C18:E18,1,$D$2)</f>
      </c>
      <c r="G18" s="17" t="s">
        <v>30</v>
      </c>
    </row>
    <row r="19" spans="1:7" x14ac:dyDescent="0.25">
      <c r="A19" t="s">
        <v>51</v>
      </c>
      <c r="B19" t="s">
        <v>39</v>
      </c>
      <c r="C19" s="18"/>
      <c r="D19" s="18"/>
      <c r="E19" s="18"/>
      <c r="F19" s="19">
        <f>INDEX(C19:E19,1,$D$2)</f>
      </c>
      <c r="G19" s="17" t="s">
        <v>30</v>
      </c>
    </row>
    <row r="20" spans="1:7" x14ac:dyDescent="0.25">
      <c r="A20" s="13" t="s">
        <v>52</v>
      </c>
      <c r="B20" s="14"/>
      <c r="C20" s="14"/>
      <c r="D20" s="14"/>
      <c r="E20" s="14"/>
      <c r="F20" s="14"/>
      <c r="G20" s="14"/>
    </row>
    <row r="21" spans="1:7" x14ac:dyDescent="0.25">
      <c r="A21" t="s">
        <v>53</v>
      </c>
      <c r="B21" t="s">
        <v>29</v>
      </c>
      <c r="C21" s="15"/>
      <c r="D21" s="15"/>
      <c r="E21" s="15"/>
      <c r="F21" s="16">
        <f>INDEX(C21:E21,1,$D$2)</f>
      </c>
      <c r="G21" s="17" t="s">
        <v>30</v>
      </c>
    </row>
    <row r="22" spans="1:7" x14ac:dyDescent="0.25">
      <c r="A22" t="s">
        <v>54</v>
      </c>
      <c r="B22" t="s">
        <v>55</v>
      </c>
      <c r="C22" s="15"/>
      <c r="D22" s="15"/>
      <c r="E22" s="15"/>
      <c r="F22" s="16">
        <f>INDEX(C22:E22,1,$D$2)</f>
      </c>
      <c r="G22" s="17" t="s">
        <v>30</v>
      </c>
    </row>
    <row r="23" spans="1:7" x14ac:dyDescent="0.25">
      <c r="A23" t="s">
        <v>56</v>
      </c>
      <c r="B23" t="s">
        <v>29</v>
      </c>
      <c r="C23" s="15"/>
      <c r="D23" s="15"/>
      <c r="E23" s="15"/>
      <c r="F23" s="16">
        <f>INDEX(C23:E23,1,$D$2)</f>
      </c>
      <c r="G23" s="17" t="s">
        <v>30</v>
      </c>
    </row>
    <row r="24" spans="1:7" x14ac:dyDescent="0.25">
      <c r="A24" t="s">
        <v>57</v>
      </c>
      <c r="B24" t="s">
        <v>29</v>
      </c>
      <c r="C24" s="15"/>
      <c r="D24" s="15"/>
      <c r="E24" s="15"/>
      <c r="F24" s="16">
        <f>INDEX(C24:E24,1,$D$2)</f>
      </c>
      <c r="G24" s="17" t="s">
        <v>30</v>
      </c>
    </row>
    <row r="25" spans="1:7" x14ac:dyDescent="0.25">
      <c r="A25" t="s">
        <v>58</v>
      </c>
      <c r="B25" t="s">
        <v>29</v>
      </c>
      <c r="C25" s="15"/>
      <c r="D25" s="15"/>
      <c r="E25" s="15"/>
      <c r="F25" s="16">
        <f>INDEX(C25:E25,1,$D$2)</f>
      </c>
      <c r="G25" s="17" t="s">
        <v>30</v>
      </c>
    </row>
    <row r="26" spans="1:7" x14ac:dyDescent="0.25">
      <c r="A26" s="13" t="s">
        <v>59</v>
      </c>
      <c r="B26" s="14"/>
      <c r="C26" s="14"/>
      <c r="D26" s="14"/>
      <c r="E26" s="14"/>
      <c r="F26" s="14"/>
      <c r="G26" s="14"/>
    </row>
    <row r="27" spans="1:7" x14ac:dyDescent="0.25">
      <c r="A27" t="s">
        <v>60</v>
      </c>
      <c r="B27" t="s">
        <v>29</v>
      </c>
      <c r="C27" s="15"/>
      <c r="D27" s="15"/>
      <c r="E27" s="15"/>
      <c r="F27" s="16">
        <f>INDEX(C27:E27,1,$D$2)</f>
      </c>
      <c r="G27" s="17" t="s">
        <v>30</v>
      </c>
    </row>
  </sheetData>
  <dataValidations count="13">
    <dataValidation type="list" showErrorMessage="1" errorTitle="Сценарий" error="Тізімнен таңдаңыз" sqref="B2">
      <formula1>"Консервативті,Базалық,Оптимистік"</formula1>
    </dataValidation>
    <dataValidation type="whole" operator="greaterThanOrEqual" allowBlank="1" showErrorMessage="1" errorTitle="Сан" error="0 немесе одан үлкен бүтін сан" sqref="C10:E10">
      <formula1>0</formula1>
    </dataValidation>
    <dataValidation type="decimal" allowBlank="1" showErrorMessage="1" errorTitle="Пайыз" error="0% пен 100% аралығы (мысалы 5%)" sqref="C11:E12">
      <formula1>0</formula1>
      <formula2>1</formula2>
    </dataValidation>
    <dataValidation type="whole" allowBlank="1" showErrorMessage="1" errorTitle="Кідіріс" error="0-12 аралығындағы бүтін ай" sqref="C13:E13">
      <formula1>0</formula1>
      <formula2>12</formula2>
    </dataValidation>
    <dataValidation type="decimal" allowBlank="1" showErrorMessage="1" errorTitle="Пайыз" error="0% пен 100% аралығы (мысалы 5%)" sqref="C14:E14">
      <formula1>0</formula1>
      <formula2>1</formula2>
    </dataValidation>
    <dataValidation type="decimal" operator="greaterThanOrEqual" allowBlank="1" showErrorMessage="1" errorTitle="Сан" error="0 немесе одан үлкен сан" sqref="C16:E18">
      <formula1>0</formula1>
    </dataValidation>
    <dataValidation type="decimal" allowBlank="1" showErrorMessage="1" errorTitle="Пайыз" error="0% пен 100% аралығы (мысалы 5%)" sqref="C19:E19">
      <formula1>0</formula1>
      <formula2>1</formula2>
    </dataValidation>
    <dataValidation type="decimal" operator="greaterThanOrEqual" allowBlank="1" showErrorMessage="1" errorTitle="Сан" error="0 немесе одан үлкен сан" sqref="C21:E21">
      <formula1>0</formula1>
    </dataValidation>
    <dataValidation type="whole" operator="greaterThanOrEqual" allowBlank="1" showErrorMessage="1" errorTitle="Сан" error="0 немесе одан үлкен бүтін сан" sqref="C22:E22">
      <formula1>0</formula1>
    </dataValidation>
    <dataValidation type="decimal" operator="greaterThanOrEqual" allowBlank="1" showErrorMessage="1" errorTitle="Сан" error="0 немесе одан үлкен сан" sqref="C23:E25">
      <formula1>0</formula1>
    </dataValidation>
    <dataValidation type="decimal" operator="greaterThanOrEqual" allowBlank="1" showErrorMessage="1" errorTitle="Сан" error="0 немесе одан үлкен сан" sqref="C27:E27">
      <formula1>0</formula1>
    </dataValidation>
    <dataValidation type="decimal" operator="greaterThanOrEqual" allowBlank="1" showErrorMessage="1" errorTitle="Сан" error="0 немесе одан үлкен сан" sqref="C6:E6">
      <formula1>0</formula1>
    </dataValidation>
    <dataValidation type="whole" operator="greaterThanOrEqual" allowBlank="1" showErrorMessage="1" errorTitle="Сан" error="0 немесе одан үлкен бүтін сан" sqref="C7:E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M50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2" width="10" customWidth="1"/>
    <col min="3" max="3" width="16" customWidth="1"/>
    <col min="4" max="39" width="12" customWidth="1"/>
  </cols>
  <sheetData>
    <row r="1" spans="1:1" x14ac:dyDescent="0.25">
      <c r="A1" s="6" t="s">
        <v>61</v>
      </c>
    </row>
    <row r="2" spans="1:1" x14ac:dyDescent="0.25">
      <c r="A2" s="11" t="s">
        <v>62</v>
      </c>
    </row>
    <row r="4" spans="1:39" x14ac:dyDescent="0.25">
      <c r="A4" s="12" t="s">
        <v>63</v>
      </c>
      <c r="B4" s="12" t="s">
        <v>22</v>
      </c>
      <c r="C4" s="12" t="s">
        <v>64</v>
      </c>
      <c r="D4" s="24">
        <v>1</v>
      </c>
      <c r="E4" s="24">
        <f>D4+1</f>
      </c>
      <c r="F4" s="24">
        <f>E4+1</f>
      </c>
      <c r="G4" s="24">
        <f>F4+1</f>
      </c>
      <c r="H4" s="24">
        <f>G4+1</f>
      </c>
      <c r="I4" s="24">
        <f>H4+1</f>
      </c>
      <c r="J4" s="24">
        <f>I4+1</f>
      </c>
      <c r="K4" s="24">
        <f>J4+1</f>
      </c>
      <c r="L4" s="24">
        <f>K4+1</f>
      </c>
      <c r="M4" s="24">
        <f>L4+1</f>
      </c>
      <c r="N4" s="24">
        <f>M4+1</f>
      </c>
      <c r="O4" s="24">
        <f>N4+1</f>
      </c>
      <c r="P4" s="24">
        <f>O4+1</f>
      </c>
      <c r="Q4" s="24">
        <f>P4+1</f>
      </c>
      <c r="R4" s="24">
        <f>Q4+1</f>
      </c>
      <c r="S4" s="24">
        <f>R4+1</f>
      </c>
      <c r="T4" s="24">
        <f>S4+1</f>
      </c>
      <c r="U4" s="24">
        <f>T4+1</f>
      </c>
      <c r="V4" s="24">
        <f>U4+1</f>
      </c>
      <c r="W4" s="24">
        <f>V4+1</f>
      </c>
      <c r="X4" s="24">
        <f>W4+1</f>
      </c>
      <c r="Y4" s="24">
        <f>X4+1</f>
      </c>
      <c r="Z4" s="24">
        <f>Y4+1</f>
      </c>
      <c r="AA4" s="24">
        <f>Z4+1</f>
      </c>
      <c r="AB4" s="24">
        <f>AA4+1</f>
      </c>
      <c r="AC4" s="24">
        <f>AB4+1</f>
      </c>
      <c r="AD4" s="24">
        <f>AC4+1</f>
      </c>
      <c r="AE4" s="24">
        <f>AD4+1</f>
      </c>
      <c r="AF4" s="24">
        <f>AE4+1</f>
      </c>
      <c r="AG4" s="24">
        <f>AF4+1</f>
      </c>
      <c r="AH4" s="24">
        <f>AG4+1</f>
      </c>
      <c r="AI4" s="24">
        <f>AH4+1</f>
      </c>
      <c r="AJ4" s="24">
        <f>AI4+1</f>
      </c>
      <c r="AK4" s="24">
        <f>AJ4+1</f>
      </c>
      <c r="AL4" s="24">
        <f>AK4+1</f>
      </c>
      <c r="AM4" s="24">
        <f>AL4+1</f>
      </c>
    </row>
    <row r="5" spans="1:1" x14ac:dyDescent="0.25">
      <c r="A5" s="25" t="s">
        <v>65</v>
      </c>
    </row>
    <row r="6" spans="1:39" x14ac:dyDescent="0.25">
      <c r="A6" s="26" t="s">
        <v>66</v>
      </c>
      <c r="B6" t="s">
        <v>34</v>
      </c>
      <c r="C6" s="23">
        <f>SUM(D6:AM6)</f>
      </c>
      <c r="D6" s="23">
        <f>CHOOSE('Болжамдар'!$D$2,D18,D30,D42)</f>
      </c>
      <c r="E6" s="23">
        <f>CHOOSE('Болжамдар'!$D$2,E18,E30,E42)</f>
      </c>
      <c r="F6" s="23">
        <f>CHOOSE('Болжамдар'!$D$2,F18,F30,F42)</f>
      </c>
      <c r="G6" s="23">
        <f>CHOOSE('Болжамдар'!$D$2,G18,G30,G42)</f>
      </c>
      <c r="H6" s="23">
        <f>CHOOSE('Болжамдар'!$D$2,H18,H30,H42)</f>
      </c>
      <c r="I6" s="23">
        <f>CHOOSE('Болжамдар'!$D$2,I18,I30,I42)</f>
      </c>
      <c r="J6" s="23">
        <f>CHOOSE('Болжамдар'!$D$2,J18,J30,J42)</f>
      </c>
      <c r="K6" s="23">
        <f>CHOOSE('Болжамдар'!$D$2,K18,K30,K42)</f>
      </c>
      <c r="L6" s="23">
        <f>CHOOSE('Болжамдар'!$D$2,L18,L30,L42)</f>
      </c>
      <c r="M6" s="23">
        <f>CHOOSE('Болжамдар'!$D$2,M18,M30,M42)</f>
      </c>
      <c r="N6" s="23">
        <f>CHOOSE('Болжамдар'!$D$2,N18,N30,N42)</f>
      </c>
      <c r="O6" s="23">
        <f>CHOOSE('Болжамдар'!$D$2,O18,O30,O42)</f>
      </c>
      <c r="P6" s="23">
        <f>CHOOSE('Болжамдар'!$D$2,P18,P30,P42)</f>
      </c>
      <c r="Q6" s="23">
        <f>CHOOSE('Болжамдар'!$D$2,Q18,Q30,Q42)</f>
      </c>
      <c r="R6" s="23">
        <f>CHOOSE('Болжамдар'!$D$2,R18,R30,R42)</f>
      </c>
      <c r="S6" s="23">
        <f>CHOOSE('Болжамдар'!$D$2,S18,S30,S42)</f>
      </c>
      <c r="T6" s="23">
        <f>CHOOSE('Болжамдар'!$D$2,T18,T30,T42)</f>
      </c>
      <c r="U6" s="23">
        <f>CHOOSE('Болжамдар'!$D$2,U18,U30,U42)</f>
      </c>
      <c r="V6" s="23">
        <f>CHOOSE('Болжамдар'!$D$2,V18,V30,V42)</f>
      </c>
      <c r="W6" s="23">
        <f>CHOOSE('Болжамдар'!$D$2,W18,W30,W42)</f>
      </c>
      <c r="X6" s="23">
        <f>CHOOSE('Болжамдар'!$D$2,X18,X30,X42)</f>
      </c>
      <c r="Y6" s="23">
        <f>CHOOSE('Болжамдар'!$D$2,Y18,Y30,Y42)</f>
      </c>
      <c r="Z6" s="23">
        <f>CHOOSE('Болжамдар'!$D$2,Z18,Z30,Z42)</f>
      </c>
      <c r="AA6" s="23">
        <f>CHOOSE('Болжамдар'!$D$2,AA18,AA30,AA42)</f>
      </c>
      <c r="AB6" s="23">
        <f>CHOOSE('Болжамдар'!$D$2,AB18,AB30,AB42)</f>
      </c>
      <c r="AC6" s="23">
        <f>CHOOSE('Болжамдар'!$D$2,AC18,AC30,AC42)</f>
      </c>
      <c r="AD6" s="23">
        <f>CHOOSE('Болжамдар'!$D$2,AD18,AD30,AD42)</f>
      </c>
      <c r="AE6" s="23">
        <f>CHOOSE('Болжамдар'!$D$2,AE18,AE30,AE42)</f>
      </c>
      <c r="AF6" s="23">
        <f>CHOOSE('Болжамдар'!$D$2,AF18,AF30,AF42)</f>
      </c>
      <c r="AG6" s="23">
        <f>CHOOSE('Болжамдар'!$D$2,AG18,AG30,AG42)</f>
      </c>
      <c r="AH6" s="23">
        <f>CHOOSE('Болжамдар'!$D$2,AH18,AH30,AH42)</f>
      </c>
      <c r="AI6" s="23">
        <f>CHOOSE('Болжамдар'!$D$2,AI18,AI30,AI42)</f>
      </c>
      <c r="AJ6" s="23">
        <f>CHOOSE('Болжамдар'!$D$2,AJ18,AJ30,AJ42)</f>
      </c>
      <c r="AK6" s="23">
        <f>CHOOSE('Болжамдар'!$D$2,AK18,AK30,AK42)</f>
      </c>
      <c r="AL6" s="23">
        <f>CHOOSE('Болжамдар'!$D$2,AL18,AL30,AL42)</f>
      </c>
      <c r="AM6" s="23">
        <f>CHOOSE('Болжамдар'!$D$2,AM18,AM30,AM42)</f>
      </c>
    </row>
    <row r="7" spans="1:39" x14ac:dyDescent="0.25">
      <c r="A7" s="26" t="s">
        <v>67</v>
      </c>
      <c r="B7" t="s">
        <v>34</v>
      </c>
      <c r="C7" s="23">
        <f>SUM(D7:AM7)</f>
      </c>
      <c r="D7" s="23">
        <f>CHOOSE('Болжамдар'!$D$2,D19,D31,D43)</f>
      </c>
      <c r="E7" s="23">
        <f>CHOOSE('Болжамдар'!$D$2,E19,E31,E43)</f>
      </c>
      <c r="F7" s="23">
        <f>CHOOSE('Болжамдар'!$D$2,F19,F31,F43)</f>
      </c>
      <c r="G7" s="23">
        <f>CHOOSE('Болжамдар'!$D$2,G19,G31,G43)</f>
      </c>
      <c r="H7" s="23">
        <f>CHOOSE('Болжамдар'!$D$2,H19,H31,H43)</f>
      </c>
      <c r="I7" s="23">
        <f>CHOOSE('Болжамдар'!$D$2,I19,I31,I43)</f>
      </c>
      <c r="J7" s="23">
        <f>CHOOSE('Болжамдар'!$D$2,J19,J31,J43)</f>
      </c>
      <c r="K7" s="23">
        <f>CHOOSE('Болжамдар'!$D$2,K19,K31,K43)</f>
      </c>
      <c r="L7" s="23">
        <f>CHOOSE('Болжамдар'!$D$2,L19,L31,L43)</f>
      </c>
      <c r="M7" s="23">
        <f>CHOOSE('Болжамдар'!$D$2,M19,M31,M43)</f>
      </c>
      <c r="N7" s="23">
        <f>CHOOSE('Болжамдар'!$D$2,N19,N31,N43)</f>
      </c>
      <c r="O7" s="23">
        <f>CHOOSE('Болжамдар'!$D$2,O19,O31,O43)</f>
      </c>
      <c r="P7" s="23">
        <f>CHOOSE('Болжамдар'!$D$2,P19,P31,P43)</f>
      </c>
      <c r="Q7" s="23">
        <f>CHOOSE('Болжамдар'!$D$2,Q19,Q31,Q43)</f>
      </c>
      <c r="R7" s="23">
        <f>CHOOSE('Болжамдар'!$D$2,R19,R31,R43)</f>
      </c>
      <c r="S7" s="23">
        <f>CHOOSE('Болжамдар'!$D$2,S19,S31,S43)</f>
      </c>
      <c r="T7" s="23">
        <f>CHOOSE('Болжамдар'!$D$2,T19,T31,T43)</f>
      </c>
      <c r="U7" s="23">
        <f>CHOOSE('Болжамдар'!$D$2,U19,U31,U43)</f>
      </c>
      <c r="V7" s="23">
        <f>CHOOSE('Болжамдар'!$D$2,V19,V31,V43)</f>
      </c>
      <c r="W7" s="23">
        <f>CHOOSE('Болжамдар'!$D$2,W19,W31,W43)</f>
      </c>
      <c r="X7" s="23">
        <f>CHOOSE('Болжамдар'!$D$2,X19,X31,X43)</f>
      </c>
      <c r="Y7" s="23">
        <f>CHOOSE('Болжамдар'!$D$2,Y19,Y31,Y43)</f>
      </c>
      <c r="Z7" s="23">
        <f>CHOOSE('Болжамдар'!$D$2,Z19,Z31,Z43)</f>
      </c>
      <c r="AA7" s="23">
        <f>CHOOSE('Болжамдар'!$D$2,AA19,AA31,AA43)</f>
      </c>
      <c r="AB7" s="23">
        <f>CHOOSE('Болжамдар'!$D$2,AB19,AB31,AB43)</f>
      </c>
      <c r="AC7" s="23">
        <f>CHOOSE('Болжамдар'!$D$2,AC19,AC31,AC43)</f>
      </c>
      <c r="AD7" s="23">
        <f>CHOOSE('Болжамдар'!$D$2,AD19,AD31,AD43)</f>
      </c>
      <c r="AE7" s="23">
        <f>CHOOSE('Болжамдар'!$D$2,AE19,AE31,AE43)</f>
      </c>
      <c r="AF7" s="23">
        <f>CHOOSE('Болжамдар'!$D$2,AF19,AF31,AF43)</f>
      </c>
      <c r="AG7" s="23">
        <f>CHOOSE('Болжамдар'!$D$2,AG19,AG31,AG43)</f>
      </c>
      <c r="AH7" s="23">
        <f>CHOOSE('Болжамдар'!$D$2,AH19,AH31,AH43)</f>
      </c>
      <c r="AI7" s="23">
        <f>CHOOSE('Болжамдар'!$D$2,AI19,AI31,AI43)</f>
      </c>
      <c r="AJ7" s="23">
        <f>CHOOSE('Болжамдар'!$D$2,AJ19,AJ31,AJ43)</f>
      </c>
      <c r="AK7" s="23">
        <f>CHOOSE('Болжамдар'!$D$2,AK19,AK31,AK43)</f>
      </c>
      <c r="AL7" s="23">
        <f>CHOOSE('Болжамдар'!$D$2,AL19,AL31,AL43)</f>
      </c>
      <c r="AM7" s="23">
        <f>CHOOSE('Болжамдар'!$D$2,AM19,AM31,AM43)</f>
      </c>
    </row>
    <row r="8" spans="1:39" x14ac:dyDescent="0.25">
      <c r="A8" s="26" t="s">
        <v>68</v>
      </c>
      <c r="B8" t="s">
        <v>34</v>
      </c>
      <c r="C8" s="23">
        <f>SUM(D8:AM8)</f>
      </c>
      <c r="D8" s="23">
        <f>CHOOSE('Болжамдар'!$D$2,D20,D32,D44)</f>
      </c>
      <c r="E8" s="23">
        <f>CHOOSE('Болжамдар'!$D$2,E20,E32,E44)</f>
      </c>
      <c r="F8" s="23">
        <f>CHOOSE('Болжамдар'!$D$2,F20,F32,F44)</f>
      </c>
      <c r="G8" s="23">
        <f>CHOOSE('Болжамдар'!$D$2,G20,G32,G44)</f>
      </c>
      <c r="H8" s="23">
        <f>CHOOSE('Болжамдар'!$D$2,H20,H32,H44)</f>
      </c>
      <c r="I8" s="23">
        <f>CHOOSE('Болжамдар'!$D$2,I20,I32,I44)</f>
      </c>
      <c r="J8" s="23">
        <f>CHOOSE('Болжамдар'!$D$2,J20,J32,J44)</f>
      </c>
      <c r="K8" s="23">
        <f>CHOOSE('Болжамдар'!$D$2,K20,K32,K44)</f>
      </c>
      <c r="L8" s="23">
        <f>CHOOSE('Болжамдар'!$D$2,L20,L32,L44)</f>
      </c>
      <c r="M8" s="23">
        <f>CHOOSE('Болжамдар'!$D$2,M20,M32,M44)</f>
      </c>
      <c r="N8" s="23">
        <f>CHOOSE('Болжамдар'!$D$2,N20,N32,N44)</f>
      </c>
      <c r="O8" s="23">
        <f>CHOOSE('Болжамдар'!$D$2,O20,O32,O44)</f>
      </c>
      <c r="P8" s="23">
        <f>CHOOSE('Болжамдар'!$D$2,P20,P32,P44)</f>
      </c>
      <c r="Q8" s="23">
        <f>CHOOSE('Болжамдар'!$D$2,Q20,Q32,Q44)</f>
      </c>
      <c r="R8" s="23">
        <f>CHOOSE('Болжамдар'!$D$2,R20,R32,R44)</f>
      </c>
      <c r="S8" s="23">
        <f>CHOOSE('Болжамдар'!$D$2,S20,S32,S44)</f>
      </c>
      <c r="T8" s="23">
        <f>CHOOSE('Болжамдар'!$D$2,T20,T32,T44)</f>
      </c>
      <c r="U8" s="23">
        <f>CHOOSE('Болжамдар'!$D$2,U20,U32,U44)</f>
      </c>
      <c r="V8" s="23">
        <f>CHOOSE('Болжамдар'!$D$2,V20,V32,V44)</f>
      </c>
      <c r="W8" s="23">
        <f>CHOOSE('Болжамдар'!$D$2,W20,W32,W44)</f>
      </c>
      <c r="X8" s="23">
        <f>CHOOSE('Болжамдар'!$D$2,X20,X32,X44)</f>
      </c>
      <c r="Y8" s="23">
        <f>CHOOSE('Болжамдар'!$D$2,Y20,Y32,Y44)</f>
      </c>
      <c r="Z8" s="23">
        <f>CHOOSE('Болжамдар'!$D$2,Z20,Z32,Z44)</f>
      </c>
      <c r="AA8" s="23">
        <f>CHOOSE('Болжамдар'!$D$2,AA20,AA32,AA44)</f>
      </c>
      <c r="AB8" s="23">
        <f>CHOOSE('Болжамдар'!$D$2,AB20,AB32,AB44)</f>
      </c>
      <c r="AC8" s="23">
        <f>CHOOSE('Болжамдар'!$D$2,AC20,AC32,AC44)</f>
      </c>
      <c r="AD8" s="23">
        <f>CHOOSE('Болжамдар'!$D$2,AD20,AD32,AD44)</f>
      </c>
      <c r="AE8" s="23">
        <f>CHOOSE('Болжамдар'!$D$2,AE20,AE32,AE44)</f>
      </c>
      <c r="AF8" s="23">
        <f>CHOOSE('Болжамдар'!$D$2,AF20,AF32,AF44)</f>
      </c>
      <c r="AG8" s="23">
        <f>CHOOSE('Болжамдар'!$D$2,AG20,AG32,AG44)</f>
      </c>
      <c r="AH8" s="23">
        <f>CHOOSE('Болжамдар'!$D$2,AH20,AH32,AH44)</f>
      </c>
      <c r="AI8" s="23">
        <f>CHOOSE('Болжамдар'!$D$2,AI20,AI32,AI44)</f>
      </c>
      <c r="AJ8" s="23">
        <f>CHOOSE('Болжамдар'!$D$2,AJ20,AJ32,AJ44)</f>
      </c>
      <c r="AK8" s="23">
        <f>CHOOSE('Болжамдар'!$D$2,AK20,AK32,AK44)</f>
      </c>
      <c r="AL8" s="23">
        <f>CHOOSE('Болжамдар'!$D$2,AL20,AL32,AL44)</f>
      </c>
      <c r="AM8" s="23">
        <f>CHOOSE('Болжамдар'!$D$2,AM20,AM32,AM44)</f>
      </c>
    </row>
    <row r="9" spans="1:39" x14ac:dyDescent="0.25">
      <c r="A9" s="26" t="s">
        <v>69</v>
      </c>
      <c r="B9" t="s">
        <v>34</v>
      </c>
      <c r="C9" s="23">
        <f>SUM(D9:AM9)</f>
      </c>
      <c r="D9" s="23">
        <f>CHOOSE('Болжамдар'!$D$2,D21,D33,D45)</f>
      </c>
      <c r="E9" s="23">
        <f>CHOOSE('Болжамдар'!$D$2,E21,E33,E45)</f>
      </c>
      <c r="F9" s="23">
        <f>CHOOSE('Болжамдар'!$D$2,F21,F33,F45)</f>
      </c>
      <c r="G9" s="23">
        <f>CHOOSE('Болжамдар'!$D$2,G21,G33,G45)</f>
      </c>
      <c r="H9" s="23">
        <f>CHOOSE('Болжамдар'!$D$2,H21,H33,H45)</f>
      </c>
      <c r="I9" s="23">
        <f>CHOOSE('Болжамдар'!$D$2,I21,I33,I45)</f>
      </c>
      <c r="J9" s="23">
        <f>CHOOSE('Болжамдар'!$D$2,J21,J33,J45)</f>
      </c>
      <c r="K9" s="23">
        <f>CHOOSE('Болжамдар'!$D$2,K21,K33,K45)</f>
      </c>
      <c r="L9" s="23">
        <f>CHOOSE('Болжамдар'!$D$2,L21,L33,L45)</f>
      </c>
      <c r="M9" s="23">
        <f>CHOOSE('Болжамдар'!$D$2,M21,M33,M45)</f>
      </c>
      <c r="N9" s="23">
        <f>CHOOSE('Болжамдар'!$D$2,N21,N33,N45)</f>
      </c>
      <c r="O9" s="23">
        <f>CHOOSE('Болжамдар'!$D$2,O21,O33,O45)</f>
      </c>
      <c r="P9" s="23">
        <f>CHOOSE('Болжамдар'!$D$2,P21,P33,P45)</f>
      </c>
      <c r="Q9" s="23">
        <f>CHOOSE('Болжамдар'!$D$2,Q21,Q33,Q45)</f>
      </c>
      <c r="R9" s="23">
        <f>CHOOSE('Болжамдар'!$D$2,R21,R33,R45)</f>
      </c>
      <c r="S9" s="23">
        <f>CHOOSE('Болжамдар'!$D$2,S21,S33,S45)</f>
      </c>
      <c r="T9" s="23">
        <f>CHOOSE('Болжамдар'!$D$2,T21,T33,T45)</f>
      </c>
      <c r="U9" s="23">
        <f>CHOOSE('Болжамдар'!$D$2,U21,U33,U45)</f>
      </c>
      <c r="V9" s="23">
        <f>CHOOSE('Болжамдар'!$D$2,V21,V33,V45)</f>
      </c>
      <c r="W9" s="23">
        <f>CHOOSE('Болжамдар'!$D$2,W21,W33,W45)</f>
      </c>
      <c r="X9" s="23">
        <f>CHOOSE('Болжамдар'!$D$2,X21,X33,X45)</f>
      </c>
      <c r="Y9" s="23">
        <f>CHOOSE('Болжамдар'!$D$2,Y21,Y33,Y45)</f>
      </c>
      <c r="Z9" s="23">
        <f>CHOOSE('Болжамдар'!$D$2,Z21,Z33,Z45)</f>
      </c>
      <c r="AA9" s="23">
        <f>CHOOSE('Болжамдар'!$D$2,AA21,AA33,AA45)</f>
      </c>
      <c r="AB9" s="23">
        <f>CHOOSE('Болжамдар'!$D$2,AB21,AB33,AB45)</f>
      </c>
      <c r="AC9" s="23">
        <f>CHOOSE('Болжамдар'!$D$2,AC21,AC33,AC45)</f>
      </c>
      <c r="AD9" s="23">
        <f>CHOOSE('Болжамдар'!$D$2,AD21,AD33,AD45)</f>
      </c>
      <c r="AE9" s="23">
        <f>CHOOSE('Болжамдар'!$D$2,AE21,AE33,AE45)</f>
      </c>
      <c r="AF9" s="23">
        <f>CHOOSE('Болжамдар'!$D$2,AF21,AF33,AF45)</f>
      </c>
      <c r="AG9" s="23">
        <f>CHOOSE('Болжамдар'!$D$2,AG21,AG33,AG45)</f>
      </c>
      <c r="AH9" s="23">
        <f>CHOOSE('Болжамдар'!$D$2,AH21,AH33,AH45)</f>
      </c>
      <c r="AI9" s="23">
        <f>CHOOSE('Болжамдар'!$D$2,AI21,AI33,AI45)</f>
      </c>
      <c r="AJ9" s="23">
        <f>CHOOSE('Болжамдар'!$D$2,AJ21,AJ33,AJ45)</f>
      </c>
      <c r="AK9" s="23">
        <f>CHOOSE('Болжамдар'!$D$2,AK21,AK33,AK45)</f>
      </c>
      <c r="AL9" s="23">
        <f>CHOOSE('Болжамдар'!$D$2,AL21,AL33,AL45)</f>
      </c>
      <c r="AM9" s="23">
        <f>CHOOSE('Болжамдар'!$D$2,AM21,AM33,AM45)</f>
      </c>
    </row>
    <row r="10" spans="1:39" x14ac:dyDescent="0.25">
      <c r="A10" s="26" t="s">
        <v>70</v>
      </c>
      <c r="B10" t="s">
        <v>34</v>
      </c>
      <c r="C10" s="23">
        <f>AM10</f>
      </c>
      <c r="D10" s="23">
        <f>CHOOSE('Болжамдар'!$D$2,D22,D34,D46)</f>
      </c>
      <c r="E10" s="23">
        <f>CHOOSE('Болжамдар'!$D$2,E22,E34,E46)</f>
      </c>
      <c r="F10" s="23">
        <f>CHOOSE('Болжамдар'!$D$2,F22,F34,F46)</f>
      </c>
      <c r="G10" s="23">
        <f>CHOOSE('Болжамдар'!$D$2,G22,G34,G46)</f>
      </c>
      <c r="H10" s="23">
        <f>CHOOSE('Болжамдар'!$D$2,H22,H34,H46)</f>
      </c>
      <c r="I10" s="23">
        <f>CHOOSE('Болжамдар'!$D$2,I22,I34,I46)</f>
      </c>
      <c r="J10" s="23">
        <f>CHOOSE('Болжамдар'!$D$2,J22,J34,J46)</f>
      </c>
      <c r="K10" s="23">
        <f>CHOOSE('Болжамдар'!$D$2,K22,K34,K46)</f>
      </c>
      <c r="L10" s="23">
        <f>CHOOSE('Болжамдар'!$D$2,L22,L34,L46)</f>
      </c>
      <c r="M10" s="23">
        <f>CHOOSE('Болжамдар'!$D$2,M22,M34,M46)</f>
      </c>
      <c r="N10" s="23">
        <f>CHOOSE('Болжамдар'!$D$2,N22,N34,N46)</f>
      </c>
      <c r="O10" s="23">
        <f>CHOOSE('Болжамдар'!$D$2,O22,O34,O46)</f>
      </c>
      <c r="P10" s="23">
        <f>CHOOSE('Болжамдар'!$D$2,P22,P34,P46)</f>
      </c>
      <c r="Q10" s="23">
        <f>CHOOSE('Болжамдар'!$D$2,Q22,Q34,Q46)</f>
      </c>
      <c r="R10" s="23">
        <f>CHOOSE('Болжамдар'!$D$2,R22,R34,R46)</f>
      </c>
      <c r="S10" s="23">
        <f>CHOOSE('Болжамдар'!$D$2,S22,S34,S46)</f>
      </c>
      <c r="T10" s="23">
        <f>CHOOSE('Болжамдар'!$D$2,T22,T34,T46)</f>
      </c>
      <c r="U10" s="23">
        <f>CHOOSE('Болжамдар'!$D$2,U22,U34,U46)</f>
      </c>
      <c r="V10" s="23">
        <f>CHOOSE('Болжамдар'!$D$2,V22,V34,V46)</f>
      </c>
      <c r="W10" s="23">
        <f>CHOOSE('Болжамдар'!$D$2,W22,W34,W46)</f>
      </c>
      <c r="X10" s="23">
        <f>CHOOSE('Болжамдар'!$D$2,X22,X34,X46)</f>
      </c>
      <c r="Y10" s="23">
        <f>CHOOSE('Болжамдар'!$D$2,Y22,Y34,Y46)</f>
      </c>
      <c r="Z10" s="23">
        <f>CHOOSE('Болжамдар'!$D$2,Z22,Z34,Z46)</f>
      </c>
      <c r="AA10" s="23">
        <f>CHOOSE('Болжамдар'!$D$2,AA22,AA34,AA46)</f>
      </c>
      <c r="AB10" s="23">
        <f>CHOOSE('Болжамдар'!$D$2,AB22,AB34,AB46)</f>
      </c>
      <c r="AC10" s="23">
        <f>CHOOSE('Болжамдар'!$D$2,AC22,AC34,AC46)</f>
      </c>
      <c r="AD10" s="23">
        <f>CHOOSE('Болжамдар'!$D$2,AD22,AD34,AD46)</f>
      </c>
      <c r="AE10" s="23">
        <f>CHOOSE('Болжамдар'!$D$2,AE22,AE34,AE46)</f>
      </c>
      <c r="AF10" s="23">
        <f>CHOOSE('Болжамдар'!$D$2,AF22,AF34,AF46)</f>
      </c>
      <c r="AG10" s="23">
        <f>CHOOSE('Болжамдар'!$D$2,AG22,AG34,AG46)</f>
      </c>
      <c r="AH10" s="23">
        <f>CHOOSE('Болжамдар'!$D$2,AH22,AH34,AH46)</f>
      </c>
      <c r="AI10" s="23">
        <f>CHOOSE('Болжамдар'!$D$2,AI22,AI34,AI46)</f>
      </c>
      <c r="AJ10" s="23">
        <f>CHOOSE('Болжамдар'!$D$2,AJ22,AJ34,AJ46)</f>
      </c>
      <c r="AK10" s="23">
        <f>CHOOSE('Болжамдар'!$D$2,AK22,AK34,AK46)</f>
      </c>
      <c r="AL10" s="23">
        <f>CHOOSE('Болжамдар'!$D$2,AL22,AL34,AL46)</f>
      </c>
      <c r="AM10" s="23">
        <f>CHOOSE('Болжамдар'!$D$2,AM22,AM34,AM46)</f>
      </c>
    </row>
    <row r="11" spans="1:39" x14ac:dyDescent="0.25">
      <c r="A11" s="26" t="s">
        <v>71</v>
      </c>
      <c r="B11" t="s">
        <v>32</v>
      </c>
      <c r="C11" s="23">
        <f>AM11</f>
      </c>
      <c r="D11" s="23">
        <f>CHOOSE('Болжамдар'!$D$2,D23,D35,D47)</f>
      </c>
      <c r="E11" s="23">
        <f>CHOOSE('Болжамдар'!$D$2,E23,E35,E47)</f>
      </c>
      <c r="F11" s="23">
        <f>CHOOSE('Болжамдар'!$D$2,F23,F35,F47)</f>
      </c>
      <c r="G11" s="23">
        <f>CHOOSE('Болжамдар'!$D$2,G23,G35,G47)</f>
      </c>
      <c r="H11" s="23">
        <f>CHOOSE('Болжамдар'!$D$2,H23,H35,H47)</f>
      </c>
      <c r="I11" s="23">
        <f>CHOOSE('Болжамдар'!$D$2,I23,I35,I47)</f>
      </c>
      <c r="J11" s="23">
        <f>CHOOSE('Болжамдар'!$D$2,J23,J35,J47)</f>
      </c>
      <c r="K11" s="23">
        <f>CHOOSE('Болжамдар'!$D$2,K23,K35,K47)</f>
      </c>
      <c r="L11" s="23">
        <f>CHOOSE('Болжамдар'!$D$2,L23,L35,L47)</f>
      </c>
      <c r="M11" s="23">
        <f>CHOOSE('Болжамдар'!$D$2,M23,M35,M47)</f>
      </c>
      <c r="N11" s="23">
        <f>CHOOSE('Болжамдар'!$D$2,N23,N35,N47)</f>
      </c>
      <c r="O11" s="23">
        <f>CHOOSE('Болжамдар'!$D$2,O23,O35,O47)</f>
      </c>
      <c r="P11" s="23">
        <f>CHOOSE('Болжамдар'!$D$2,P23,P35,P47)</f>
      </c>
      <c r="Q11" s="23">
        <f>CHOOSE('Болжамдар'!$D$2,Q23,Q35,Q47)</f>
      </c>
      <c r="R11" s="23">
        <f>CHOOSE('Болжамдар'!$D$2,R23,R35,R47)</f>
      </c>
      <c r="S11" s="23">
        <f>CHOOSE('Болжамдар'!$D$2,S23,S35,S47)</f>
      </c>
      <c r="T11" s="23">
        <f>CHOOSE('Болжамдар'!$D$2,T23,T35,T47)</f>
      </c>
      <c r="U11" s="23">
        <f>CHOOSE('Болжамдар'!$D$2,U23,U35,U47)</f>
      </c>
      <c r="V11" s="23">
        <f>CHOOSE('Болжамдар'!$D$2,V23,V35,V47)</f>
      </c>
      <c r="W11" s="23">
        <f>CHOOSE('Болжамдар'!$D$2,W23,W35,W47)</f>
      </c>
      <c r="X11" s="23">
        <f>CHOOSE('Болжамдар'!$D$2,X23,X35,X47)</f>
      </c>
      <c r="Y11" s="23">
        <f>CHOOSE('Болжамдар'!$D$2,Y23,Y35,Y47)</f>
      </c>
      <c r="Z11" s="23">
        <f>CHOOSE('Болжамдар'!$D$2,Z23,Z35,Z47)</f>
      </c>
      <c r="AA11" s="23">
        <f>CHOOSE('Болжамдар'!$D$2,AA23,AA35,AA47)</f>
      </c>
      <c r="AB11" s="23">
        <f>CHOOSE('Болжамдар'!$D$2,AB23,AB35,AB47)</f>
      </c>
      <c r="AC11" s="23">
        <f>CHOOSE('Болжамдар'!$D$2,AC23,AC35,AC47)</f>
      </c>
      <c r="AD11" s="23">
        <f>CHOOSE('Болжамдар'!$D$2,AD23,AD35,AD47)</f>
      </c>
      <c r="AE11" s="23">
        <f>CHOOSE('Болжамдар'!$D$2,AE23,AE35,AE47)</f>
      </c>
      <c r="AF11" s="23">
        <f>CHOOSE('Болжамдар'!$D$2,AF23,AF35,AF47)</f>
      </c>
      <c r="AG11" s="23">
        <f>CHOOSE('Болжамдар'!$D$2,AG23,AG35,AG47)</f>
      </c>
      <c r="AH11" s="23">
        <f>CHOOSE('Болжамдар'!$D$2,AH23,AH35,AH47)</f>
      </c>
      <c r="AI11" s="23">
        <f>CHOOSE('Болжамдар'!$D$2,AI23,AI35,AI47)</f>
      </c>
      <c r="AJ11" s="23">
        <f>CHOOSE('Болжамдар'!$D$2,AJ23,AJ35,AJ47)</f>
      </c>
      <c r="AK11" s="23">
        <f>CHOOSE('Болжамдар'!$D$2,AK23,AK35,AK47)</f>
      </c>
      <c r="AL11" s="23">
        <f>CHOOSE('Болжамдар'!$D$2,AL23,AL35,AL47)</f>
      </c>
      <c r="AM11" s="23">
        <f>CHOOSE('Болжамдар'!$D$2,AM23,AM35,AM47)</f>
      </c>
    </row>
    <row r="12" spans="1:39" x14ac:dyDescent="0.25">
      <c r="A12" s="26" t="s">
        <v>72</v>
      </c>
      <c r="B12" t="s">
        <v>73</v>
      </c>
      <c r="C12" s="16">
        <f>AM12</f>
      </c>
      <c r="D12" s="16">
        <f>CHOOSE('Болжамдар'!$D$2,D24,D36,D48)</f>
      </c>
      <c r="E12" s="16">
        <f>CHOOSE('Болжамдар'!$D$2,E24,E36,E48)</f>
      </c>
      <c r="F12" s="16">
        <f>CHOOSE('Болжамдар'!$D$2,F24,F36,F48)</f>
      </c>
      <c r="G12" s="16">
        <f>CHOOSE('Болжамдар'!$D$2,G24,G36,G48)</f>
      </c>
      <c r="H12" s="16">
        <f>CHOOSE('Болжамдар'!$D$2,H24,H36,H48)</f>
      </c>
      <c r="I12" s="16">
        <f>CHOOSE('Болжамдар'!$D$2,I24,I36,I48)</f>
      </c>
      <c r="J12" s="16">
        <f>CHOOSE('Болжамдар'!$D$2,J24,J36,J48)</f>
      </c>
      <c r="K12" s="16">
        <f>CHOOSE('Болжамдар'!$D$2,K24,K36,K48)</f>
      </c>
      <c r="L12" s="16">
        <f>CHOOSE('Болжамдар'!$D$2,L24,L36,L48)</f>
      </c>
      <c r="M12" s="16">
        <f>CHOOSE('Болжамдар'!$D$2,M24,M36,M48)</f>
      </c>
      <c r="N12" s="16">
        <f>CHOOSE('Болжамдар'!$D$2,N24,N36,N48)</f>
      </c>
      <c r="O12" s="16">
        <f>CHOOSE('Болжамдар'!$D$2,O24,O36,O48)</f>
      </c>
      <c r="P12" s="16">
        <f>CHOOSE('Болжамдар'!$D$2,P24,P36,P48)</f>
      </c>
      <c r="Q12" s="16">
        <f>CHOOSE('Болжамдар'!$D$2,Q24,Q36,Q48)</f>
      </c>
      <c r="R12" s="16">
        <f>CHOOSE('Болжамдар'!$D$2,R24,R36,R48)</f>
      </c>
      <c r="S12" s="16">
        <f>CHOOSE('Болжамдар'!$D$2,S24,S36,S48)</f>
      </c>
      <c r="T12" s="16">
        <f>CHOOSE('Болжамдар'!$D$2,T24,T36,T48)</f>
      </c>
      <c r="U12" s="16">
        <f>CHOOSE('Болжамдар'!$D$2,U24,U36,U48)</f>
      </c>
      <c r="V12" s="16">
        <f>CHOOSE('Болжамдар'!$D$2,V24,V36,V48)</f>
      </c>
      <c r="W12" s="16">
        <f>CHOOSE('Болжамдар'!$D$2,W24,W36,W48)</f>
      </c>
      <c r="X12" s="16">
        <f>CHOOSE('Болжамдар'!$D$2,X24,X36,X48)</f>
      </c>
      <c r="Y12" s="16">
        <f>CHOOSE('Болжамдар'!$D$2,Y24,Y36,Y48)</f>
      </c>
      <c r="Z12" s="16">
        <f>CHOOSE('Болжамдар'!$D$2,Z24,Z36,Z48)</f>
      </c>
      <c r="AA12" s="16">
        <f>CHOOSE('Болжамдар'!$D$2,AA24,AA36,AA48)</f>
      </c>
      <c r="AB12" s="16">
        <f>CHOOSE('Болжамдар'!$D$2,AB24,AB36,AB48)</f>
      </c>
      <c r="AC12" s="16">
        <f>CHOOSE('Болжамдар'!$D$2,AC24,AC36,AC48)</f>
      </c>
      <c r="AD12" s="16">
        <f>CHOOSE('Болжамдар'!$D$2,AD24,AD36,AD48)</f>
      </c>
      <c r="AE12" s="16">
        <f>CHOOSE('Болжамдар'!$D$2,AE24,AE36,AE48)</f>
      </c>
      <c r="AF12" s="16">
        <f>CHOOSE('Болжамдар'!$D$2,AF24,AF36,AF48)</f>
      </c>
      <c r="AG12" s="16">
        <f>CHOOSE('Болжамдар'!$D$2,AG24,AG36,AG48)</f>
      </c>
      <c r="AH12" s="16">
        <f>CHOOSE('Болжамдар'!$D$2,AH24,AH36,AH48)</f>
      </c>
      <c r="AI12" s="16">
        <f>CHOOSE('Болжамдар'!$D$2,AI24,AI36,AI48)</f>
      </c>
      <c r="AJ12" s="16">
        <f>CHOOSE('Болжамдар'!$D$2,AJ24,AJ36,AJ48)</f>
      </c>
      <c r="AK12" s="16">
        <f>CHOOSE('Болжамдар'!$D$2,AK24,AK36,AK48)</f>
      </c>
      <c r="AL12" s="16">
        <f>CHOOSE('Болжамдар'!$D$2,AL24,AL36,AL48)</f>
      </c>
      <c r="AM12" s="16">
        <f>CHOOSE('Болжамдар'!$D$2,AM24,AM36,AM48)</f>
      </c>
    </row>
    <row r="13" spans="1:39" x14ac:dyDescent="0.25">
      <c r="A13" s="26" t="s">
        <v>74</v>
      </c>
      <c r="B13" t="s">
        <v>75</v>
      </c>
      <c r="C13" s="16">
        <f>AM13</f>
      </c>
      <c r="D13" s="16">
        <f>CHOOSE('Болжамдар'!$D$2,D25,D37,D49)</f>
      </c>
      <c r="E13" s="16">
        <f>CHOOSE('Болжамдар'!$D$2,E25,E37,E49)</f>
      </c>
      <c r="F13" s="16">
        <f>CHOOSE('Болжамдар'!$D$2,F25,F37,F49)</f>
      </c>
      <c r="G13" s="16">
        <f>CHOOSE('Болжамдар'!$D$2,G25,G37,G49)</f>
      </c>
      <c r="H13" s="16">
        <f>CHOOSE('Болжамдар'!$D$2,H25,H37,H49)</f>
      </c>
      <c r="I13" s="16">
        <f>CHOOSE('Болжамдар'!$D$2,I25,I37,I49)</f>
      </c>
      <c r="J13" s="16">
        <f>CHOOSE('Болжамдар'!$D$2,J25,J37,J49)</f>
      </c>
      <c r="K13" s="16">
        <f>CHOOSE('Болжамдар'!$D$2,K25,K37,K49)</f>
      </c>
      <c r="L13" s="16">
        <f>CHOOSE('Болжамдар'!$D$2,L25,L37,L49)</f>
      </c>
      <c r="M13" s="16">
        <f>CHOOSE('Болжамдар'!$D$2,M25,M37,M49)</f>
      </c>
      <c r="N13" s="16">
        <f>CHOOSE('Болжамдар'!$D$2,N25,N37,N49)</f>
      </c>
      <c r="O13" s="16">
        <f>CHOOSE('Болжамдар'!$D$2,O25,O37,O49)</f>
      </c>
      <c r="P13" s="16">
        <f>CHOOSE('Болжамдар'!$D$2,P25,P37,P49)</f>
      </c>
      <c r="Q13" s="16">
        <f>CHOOSE('Болжамдар'!$D$2,Q25,Q37,Q49)</f>
      </c>
      <c r="R13" s="16">
        <f>CHOOSE('Болжамдар'!$D$2,R25,R37,R49)</f>
      </c>
      <c r="S13" s="16">
        <f>CHOOSE('Болжамдар'!$D$2,S25,S37,S49)</f>
      </c>
      <c r="T13" s="16">
        <f>CHOOSE('Болжамдар'!$D$2,T25,T37,T49)</f>
      </c>
      <c r="U13" s="16">
        <f>CHOOSE('Болжамдар'!$D$2,U25,U37,U49)</f>
      </c>
      <c r="V13" s="16">
        <f>CHOOSE('Болжамдар'!$D$2,V25,V37,V49)</f>
      </c>
      <c r="W13" s="16">
        <f>CHOOSE('Болжамдар'!$D$2,W25,W37,W49)</f>
      </c>
      <c r="X13" s="16">
        <f>CHOOSE('Болжамдар'!$D$2,X25,X37,X49)</f>
      </c>
      <c r="Y13" s="16">
        <f>CHOOSE('Болжамдар'!$D$2,Y25,Y37,Y49)</f>
      </c>
      <c r="Z13" s="16">
        <f>CHOOSE('Болжамдар'!$D$2,Z25,Z37,Z49)</f>
      </c>
      <c r="AA13" s="16">
        <f>CHOOSE('Болжамдар'!$D$2,AA25,AA37,AA49)</f>
      </c>
      <c r="AB13" s="16">
        <f>CHOOSE('Болжамдар'!$D$2,AB25,AB37,AB49)</f>
      </c>
      <c r="AC13" s="16">
        <f>CHOOSE('Болжамдар'!$D$2,AC25,AC37,AC49)</f>
      </c>
      <c r="AD13" s="16">
        <f>CHOOSE('Болжамдар'!$D$2,AD25,AD37,AD49)</f>
      </c>
      <c r="AE13" s="16">
        <f>CHOOSE('Болжамдар'!$D$2,AE25,AE37,AE49)</f>
      </c>
      <c r="AF13" s="16">
        <f>CHOOSE('Болжамдар'!$D$2,AF25,AF37,AF49)</f>
      </c>
      <c r="AG13" s="16">
        <f>CHOOSE('Болжамдар'!$D$2,AG25,AG37,AG49)</f>
      </c>
      <c r="AH13" s="16">
        <f>CHOOSE('Болжамдар'!$D$2,AH25,AH37,AH49)</f>
      </c>
      <c r="AI13" s="16">
        <f>CHOOSE('Болжамдар'!$D$2,AI25,AI37,AI49)</f>
      </c>
      <c r="AJ13" s="16">
        <f>CHOOSE('Болжамдар'!$D$2,AJ25,AJ37,AJ49)</f>
      </c>
      <c r="AK13" s="16">
        <f>CHOOSE('Болжамдар'!$D$2,AK25,AK37,AK49)</f>
      </c>
      <c r="AL13" s="16">
        <f>CHOOSE('Болжамдар'!$D$2,AL25,AL37,AL49)</f>
      </c>
      <c r="AM13" s="16">
        <f>CHOOSE('Болжамдар'!$D$2,AM25,AM37,AM49)</f>
      </c>
    </row>
    <row r="14" spans="1:39" x14ac:dyDescent="0.25">
      <c r="A14" s="26" t="s">
        <v>76</v>
      </c>
      <c r="B14" t="s">
        <v>29</v>
      </c>
      <c r="C14" s="16">
        <f>SUM(D14:AM14)</f>
      </c>
      <c r="D14" s="16">
        <f>CHOOSE('Болжамдар'!$D$2,D26,D38,D50)</f>
      </c>
      <c r="E14" s="16">
        <f>CHOOSE('Болжамдар'!$D$2,E26,E38,E50)</f>
      </c>
      <c r="F14" s="16">
        <f>CHOOSE('Болжамдар'!$D$2,F26,F38,F50)</f>
      </c>
      <c r="G14" s="16">
        <f>CHOOSE('Болжамдар'!$D$2,G26,G38,G50)</f>
      </c>
      <c r="H14" s="16">
        <f>CHOOSE('Болжамдар'!$D$2,H26,H38,H50)</f>
      </c>
      <c r="I14" s="16">
        <f>CHOOSE('Болжамдар'!$D$2,I26,I38,I50)</f>
      </c>
      <c r="J14" s="16">
        <f>CHOOSE('Болжамдар'!$D$2,J26,J38,J50)</f>
      </c>
      <c r="K14" s="16">
        <f>CHOOSE('Болжамдар'!$D$2,K26,K38,K50)</f>
      </c>
      <c r="L14" s="16">
        <f>CHOOSE('Болжамдар'!$D$2,L26,L38,L50)</f>
      </c>
      <c r="M14" s="16">
        <f>CHOOSE('Болжамдар'!$D$2,M26,M38,M50)</f>
      </c>
      <c r="N14" s="16">
        <f>CHOOSE('Болжамдар'!$D$2,N26,N38,N50)</f>
      </c>
      <c r="O14" s="16">
        <f>CHOOSE('Болжамдар'!$D$2,O26,O38,O50)</f>
      </c>
      <c r="P14" s="16">
        <f>CHOOSE('Болжамдар'!$D$2,P26,P38,P50)</f>
      </c>
      <c r="Q14" s="16">
        <f>CHOOSE('Болжамдар'!$D$2,Q26,Q38,Q50)</f>
      </c>
      <c r="R14" s="16">
        <f>CHOOSE('Болжамдар'!$D$2,R26,R38,R50)</f>
      </c>
      <c r="S14" s="16">
        <f>CHOOSE('Болжамдар'!$D$2,S26,S38,S50)</f>
      </c>
      <c r="T14" s="16">
        <f>CHOOSE('Болжамдар'!$D$2,T26,T38,T50)</f>
      </c>
      <c r="U14" s="16">
        <f>CHOOSE('Болжамдар'!$D$2,U26,U38,U50)</f>
      </c>
      <c r="V14" s="16">
        <f>CHOOSE('Болжамдар'!$D$2,V26,V38,V50)</f>
      </c>
      <c r="W14" s="16">
        <f>CHOOSE('Болжамдар'!$D$2,W26,W38,W50)</f>
      </c>
      <c r="X14" s="16">
        <f>CHOOSE('Болжамдар'!$D$2,X26,X38,X50)</f>
      </c>
      <c r="Y14" s="16">
        <f>CHOOSE('Болжамдар'!$D$2,Y26,Y38,Y50)</f>
      </c>
      <c r="Z14" s="16">
        <f>CHOOSE('Болжамдар'!$D$2,Z26,Z38,Z50)</f>
      </c>
      <c r="AA14" s="16">
        <f>CHOOSE('Болжамдар'!$D$2,AA26,AA38,AA50)</f>
      </c>
      <c r="AB14" s="16">
        <f>CHOOSE('Болжамдар'!$D$2,AB26,AB38,AB50)</f>
      </c>
      <c r="AC14" s="16">
        <f>CHOOSE('Болжамдар'!$D$2,AC26,AC38,AC50)</f>
      </c>
      <c r="AD14" s="16">
        <f>CHOOSE('Болжамдар'!$D$2,AD26,AD38,AD50)</f>
      </c>
      <c r="AE14" s="16">
        <f>CHOOSE('Болжамдар'!$D$2,AE26,AE38,AE50)</f>
      </c>
      <c r="AF14" s="16">
        <f>CHOOSE('Болжамдар'!$D$2,AF26,AF38,AF50)</f>
      </c>
      <c r="AG14" s="16">
        <f>CHOOSE('Болжамдар'!$D$2,AG26,AG38,AG50)</f>
      </c>
      <c r="AH14" s="16">
        <f>CHOOSE('Болжамдар'!$D$2,AH26,AH38,AH50)</f>
      </c>
      <c r="AI14" s="16">
        <f>CHOOSE('Болжамдар'!$D$2,AI26,AI38,AI50)</f>
      </c>
      <c r="AJ14" s="16">
        <f>CHOOSE('Болжамдар'!$D$2,AJ26,AJ38,AJ50)</f>
      </c>
      <c r="AK14" s="16">
        <f>CHOOSE('Болжамдар'!$D$2,AK26,AK38,AK50)</f>
      </c>
      <c r="AL14" s="16">
        <f>CHOOSE('Болжамдар'!$D$2,AL26,AL38,AL50)</f>
      </c>
      <c r="AM14" s="16">
        <f>CHOOSE('Болжамдар'!$D$2,AM26,AM38,AM50)</f>
      </c>
    </row>
    <row r="17" spans="1:1" x14ac:dyDescent="0.25">
      <c r="A17" s="25" t="s">
        <v>77</v>
      </c>
    </row>
    <row r="18" spans="1:39" x14ac:dyDescent="0.25">
      <c r="A18" s="26" t="s">
        <v>66</v>
      </c>
      <c r="B18" t="s">
        <v>34</v>
      </c>
      <c r="C18" s="23">
        <f>SUM(D18:AM18)</f>
      </c>
      <c r="D18" s="23">
        <f>N('Болжамдар'!$C$10)</f>
      </c>
      <c r="E18" s="23">
        <f>N('Болжамдар'!$C$10)</f>
      </c>
      <c r="F18" s="23">
        <f>N('Болжамдар'!$C$10)</f>
      </c>
      <c r="G18" s="23">
        <f>N('Болжамдар'!$C$10)</f>
      </c>
      <c r="H18" s="23">
        <f>N('Болжамдар'!$C$10)</f>
      </c>
      <c r="I18" s="23">
        <f>N('Болжамдар'!$C$10)</f>
      </c>
      <c r="J18" s="23">
        <f>N('Болжамдар'!$C$10)</f>
      </c>
      <c r="K18" s="23">
        <f>N('Болжамдар'!$C$10)</f>
      </c>
      <c r="L18" s="23">
        <f>N('Болжамдар'!$C$10)</f>
      </c>
      <c r="M18" s="23">
        <f>N('Болжамдар'!$C$10)</f>
      </c>
      <c r="N18" s="23">
        <f>N('Болжамдар'!$C$10)</f>
      </c>
      <c r="O18" s="23">
        <f>N('Болжамдар'!$C$10)</f>
      </c>
      <c r="P18" s="23">
        <f>N('Болжамдар'!$C$10)</f>
      </c>
      <c r="Q18" s="23">
        <f>N('Болжамдар'!$C$10)</f>
      </c>
      <c r="R18" s="23">
        <f>N('Болжамдар'!$C$10)</f>
      </c>
      <c r="S18" s="23">
        <f>N('Болжамдар'!$C$10)</f>
      </c>
      <c r="T18" s="23">
        <f>N('Болжамдар'!$C$10)</f>
      </c>
      <c r="U18" s="23">
        <f>N('Болжамдар'!$C$10)</f>
      </c>
      <c r="V18" s="23">
        <f>N('Болжамдар'!$C$10)</f>
      </c>
      <c r="W18" s="23">
        <f>N('Болжамдар'!$C$10)</f>
      </c>
      <c r="X18" s="23">
        <f>N('Болжамдар'!$C$10)</f>
      </c>
      <c r="Y18" s="23">
        <f>N('Болжамдар'!$C$10)</f>
      </c>
      <c r="Z18" s="23">
        <f>N('Болжамдар'!$C$10)</f>
      </c>
      <c r="AA18" s="23">
        <f>N('Болжамдар'!$C$10)</f>
      </c>
      <c r="AB18" s="23">
        <f>N('Болжамдар'!$C$10)</f>
      </c>
      <c r="AC18" s="23">
        <f>N('Болжамдар'!$C$10)</f>
      </c>
      <c r="AD18" s="23">
        <f>N('Болжамдар'!$C$10)</f>
      </c>
      <c r="AE18" s="23">
        <f>N('Болжамдар'!$C$10)</f>
      </c>
      <c r="AF18" s="23">
        <f>N('Болжамдар'!$C$10)</f>
      </c>
      <c r="AG18" s="23">
        <f>N('Болжамдар'!$C$10)</f>
      </c>
      <c r="AH18" s="23">
        <f>N('Болжамдар'!$C$10)</f>
      </c>
      <c r="AI18" s="23">
        <f>N('Болжамдар'!$C$10)</f>
      </c>
      <c r="AJ18" s="23">
        <f>N('Болжамдар'!$C$10)</f>
      </c>
      <c r="AK18" s="23">
        <f>N('Болжамдар'!$C$10)</f>
      </c>
      <c r="AL18" s="23">
        <f>N('Болжамдар'!$C$10)</f>
      </c>
      <c r="AM18" s="23">
        <f>N('Болжамдар'!$C$10)</f>
      </c>
    </row>
    <row r="19" spans="1:39" x14ac:dyDescent="0.25">
      <c r="A19" s="26" t="s">
        <v>67</v>
      </c>
      <c r="B19" t="s">
        <v>34</v>
      </c>
      <c r="C19" s="23">
        <f>SUM(D19:AM19)</f>
      </c>
      <c r="D19" s="23">
        <f>D18*N('Болжамдар'!$C$11)</f>
      </c>
      <c r="E19" s="23">
        <f>E18*N('Болжамдар'!$C$11)</f>
      </c>
      <c r="F19" s="23">
        <f>F18*N('Болжамдар'!$C$11)</f>
      </c>
      <c r="G19" s="23">
        <f>G18*N('Болжамдар'!$C$11)</f>
      </c>
      <c r="H19" s="23">
        <f>H18*N('Болжамдар'!$C$11)</f>
      </c>
      <c r="I19" s="23">
        <f>I18*N('Болжамдар'!$C$11)</f>
      </c>
      <c r="J19" s="23">
        <f>J18*N('Болжамдар'!$C$11)</f>
      </c>
      <c r="K19" s="23">
        <f>K18*N('Болжамдар'!$C$11)</f>
      </c>
      <c r="L19" s="23">
        <f>L18*N('Болжамдар'!$C$11)</f>
      </c>
      <c r="M19" s="23">
        <f>M18*N('Болжамдар'!$C$11)</f>
      </c>
      <c r="N19" s="23">
        <f>N18*N('Болжамдар'!$C$11)</f>
      </c>
      <c r="O19" s="23">
        <f>O18*N('Болжамдар'!$C$11)</f>
      </c>
      <c r="P19" s="23">
        <f>P18*N('Болжамдар'!$C$11)</f>
      </c>
      <c r="Q19" s="23">
        <f>Q18*N('Болжамдар'!$C$11)</f>
      </c>
      <c r="R19" s="23">
        <f>R18*N('Болжамдар'!$C$11)</f>
      </c>
      <c r="S19" s="23">
        <f>S18*N('Болжамдар'!$C$11)</f>
      </c>
      <c r="T19" s="23">
        <f>T18*N('Болжамдар'!$C$11)</f>
      </c>
      <c r="U19" s="23">
        <f>U18*N('Болжамдар'!$C$11)</f>
      </c>
      <c r="V19" s="23">
        <f>V18*N('Болжамдар'!$C$11)</f>
      </c>
      <c r="W19" s="23">
        <f>W18*N('Болжамдар'!$C$11)</f>
      </c>
      <c r="X19" s="23">
        <f>X18*N('Болжамдар'!$C$11)</f>
      </c>
      <c r="Y19" s="23">
        <f>Y18*N('Болжамдар'!$C$11)</f>
      </c>
      <c r="Z19" s="23">
        <f>Z18*N('Болжамдар'!$C$11)</f>
      </c>
      <c r="AA19" s="23">
        <f>AA18*N('Болжамдар'!$C$11)</f>
      </c>
      <c r="AB19" s="23">
        <f>AB18*N('Болжамдар'!$C$11)</f>
      </c>
      <c r="AC19" s="23">
        <f>AC18*N('Болжамдар'!$C$11)</f>
      </c>
      <c r="AD19" s="23">
        <f>AD18*N('Болжамдар'!$C$11)</f>
      </c>
      <c r="AE19" s="23">
        <f>AE18*N('Болжамдар'!$C$11)</f>
      </c>
      <c r="AF19" s="23">
        <f>AF18*N('Болжамдар'!$C$11)</f>
      </c>
      <c r="AG19" s="23">
        <f>AG18*N('Болжамдар'!$C$11)</f>
      </c>
      <c r="AH19" s="23">
        <f>AH18*N('Болжамдар'!$C$11)</f>
      </c>
      <c r="AI19" s="23">
        <f>AI18*N('Болжамдар'!$C$11)</f>
      </c>
      <c r="AJ19" s="23">
        <f>AJ18*N('Болжамдар'!$C$11)</f>
      </c>
      <c r="AK19" s="23">
        <f>AK18*N('Болжамдар'!$C$11)</f>
      </c>
      <c r="AL19" s="23">
        <f>AL18*N('Болжамдар'!$C$11)</f>
      </c>
      <c r="AM19" s="23">
        <f>AM18*N('Болжамдар'!$C$11)</f>
      </c>
    </row>
    <row r="20" spans="1:39" x14ac:dyDescent="0.25">
      <c r="A20" s="26" t="s">
        <v>68</v>
      </c>
      <c r="B20" t="s">
        <v>34</v>
      </c>
      <c r="C20" s="23">
        <f>SUM(D20:AM20)</f>
      </c>
      <c r="D20" s="23">
        <f>IF(D$4&gt;N('Болжамдар'!$C$13),INDEX($D19:$AM19,1,MAX(1,D$4-N('Болжамдар'!$C$13))),0)*N('Болжамдар'!$C$12)+IF(D$4=1,N('Болжамдар'!$C$8),0)</f>
      </c>
      <c r="E20" s="23">
        <f>IF(E$4&gt;N('Болжамдар'!$C$13),INDEX($D19:$AM19,1,MAX(1,E$4-N('Болжамдар'!$C$13))),0)*N('Болжамдар'!$C$12)+IF(E$4=1,N('Болжамдар'!$C$8),0)</f>
      </c>
      <c r="F20" s="23">
        <f>IF(F$4&gt;N('Болжамдар'!$C$13),INDEX($D19:$AM19,1,MAX(1,F$4-N('Болжамдар'!$C$13))),0)*N('Болжамдар'!$C$12)+IF(F$4=1,N('Болжамдар'!$C$8),0)</f>
      </c>
      <c r="G20" s="23">
        <f>IF(G$4&gt;N('Болжамдар'!$C$13),INDEX($D19:$AM19,1,MAX(1,G$4-N('Болжамдар'!$C$13))),0)*N('Болжамдар'!$C$12)+IF(G$4=1,N('Болжамдар'!$C$8),0)</f>
      </c>
      <c r="H20" s="23">
        <f>IF(H$4&gt;N('Болжамдар'!$C$13),INDEX($D19:$AM19,1,MAX(1,H$4-N('Болжамдар'!$C$13))),0)*N('Болжамдар'!$C$12)+IF(H$4=1,N('Болжамдар'!$C$8),0)</f>
      </c>
      <c r="I20" s="23">
        <f>IF(I$4&gt;N('Болжамдар'!$C$13),INDEX($D19:$AM19,1,MAX(1,I$4-N('Болжамдар'!$C$13))),0)*N('Болжамдар'!$C$12)+IF(I$4=1,N('Болжамдар'!$C$8),0)</f>
      </c>
      <c r="J20" s="23">
        <f>IF(J$4&gt;N('Болжамдар'!$C$13),INDEX($D19:$AM19,1,MAX(1,J$4-N('Болжамдар'!$C$13))),0)*N('Болжамдар'!$C$12)+IF(J$4=1,N('Болжамдар'!$C$8),0)</f>
      </c>
      <c r="K20" s="23">
        <f>IF(K$4&gt;N('Болжамдар'!$C$13),INDEX($D19:$AM19,1,MAX(1,K$4-N('Болжамдар'!$C$13))),0)*N('Болжамдар'!$C$12)+IF(K$4=1,N('Болжамдар'!$C$8),0)</f>
      </c>
      <c r="L20" s="23">
        <f>IF(L$4&gt;N('Болжамдар'!$C$13),INDEX($D19:$AM19,1,MAX(1,L$4-N('Болжамдар'!$C$13))),0)*N('Болжамдар'!$C$12)+IF(L$4=1,N('Болжамдар'!$C$8),0)</f>
      </c>
      <c r="M20" s="23">
        <f>IF(M$4&gt;N('Болжамдар'!$C$13),INDEX($D19:$AM19,1,MAX(1,M$4-N('Болжамдар'!$C$13))),0)*N('Болжамдар'!$C$12)+IF(M$4=1,N('Болжамдар'!$C$8),0)</f>
      </c>
      <c r="N20" s="23">
        <f>IF(N$4&gt;N('Болжамдар'!$C$13),INDEX($D19:$AM19,1,MAX(1,N$4-N('Болжамдар'!$C$13))),0)*N('Болжамдар'!$C$12)+IF(N$4=1,N('Болжамдар'!$C$8),0)</f>
      </c>
      <c r="O20" s="23">
        <f>IF(O$4&gt;N('Болжамдар'!$C$13),INDEX($D19:$AM19,1,MAX(1,O$4-N('Болжамдар'!$C$13))),0)*N('Болжамдар'!$C$12)+IF(O$4=1,N('Болжамдар'!$C$8),0)</f>
      </c>
      <c r="P20" s="23">
        <f>IF(P$4&gt;N('Болжамдар'!$C$13),INDEX($D19:$AM19,1,MAX(1,P$4-N('Болжамдар'!$C$13))),0)*N('Болжамдар'!$C$12)+IF(P$4=1,N('Болжамдар'!$C$8),0)</f>
      </c>
      <c r="Q20" s="23">
        <f>IF(Q$4&gt;N('Болжамдар'!$C$13),INDEX($D19:$AM19,1,MAX(1,Q$4-N('Болжамдар'!$C$13))),0)*N('Болжамдар'!$C$12)+IF(Q$4=1,N('Болжамдар'!$C$8),0)</f>
      </c>
      <c r="R20" s="23">
        <f>IF(R$4&gt;N('Болжамдар'!$C$13),INDEX($D19:$AM19,1,MAX(1,R$4-N('Болжамдар'!$C$13))),0)*N('Болжамдар'!$C$12)+IF(R$4=1,N('Болжамдар'!$C$8),0)</f>
      </c>
      <c r="S20" s="23">
        <f>IF(S$4&gt;N('Болжамдар'!$C$13),INDEX($D19:$AM19,1,MAX(1,S$4-N('Болжамдар'!$C$13))),0)*N('Болжамдар'!$C$12)+IF(S$4=1,N('Болжамдар'!$C$8),0)</f>
      </c>
      <c r="T20" s="23">
        <f>IF(T$4&gt;N('Болжамдар'!$C$13),INDEX($D19:$AM19,1,MAX(1,T$4-N('Болжамдар'!$C$13))),0)*N('Болжамдар'!$C$12)+IF(T$4=1,N('Болжамдар'!$C$8),0)</f>
      </c>
      <c r="U20" s="23">
        <f>IF(U$4&gt;N('Болжамдар'!$C$13),INDEX($D19:$AM19,1,MAX(1,U$4-N('Болжамдар'!$C$13))),0)*N('Болжамдар'!$C$12)+IF(U$4=1,N('Болжамдар'!$C$8),0)</f>
      </c>
      <c r="V20" s="23">
        <f>IF(V$4&gt;N('Болжамдар'!$C$13),INDEX($D19:$AM19,1,MAX(1,V$4-N('Болжамдар'!$C$13))),0)*N('Болжамдар'!$C$12)+IF(V$4=1,N('Болжамдар'!$C$8),0)</f>
      </c>
      <c r="W20" s="23">
        <f>IF(W$4&gt;N('Болжамдар'!$C$13),INDEX($D19:$AM19,1,MAX(1,W$4-N('Болжамдар'!$C$13))),0)*N('Болжамдар'!$C$12)+IF(W$4=1,N('Болжамдар'!$C$8),0)</f>
      </c>
      <c r="X20" s="23">
        <f>IF(X$4&gt;N('Болжамдар'!$C$13),INDEX($D19:$AM19,1,MAX(1,X$4-N('Болжамдар'!$C$13))),0)*N('Болжамдар'!$C$12)+IF(X$4=1,N('Болжамдар'!$C$8),0)</f>
      </c>
      <c r="Y20" s="23">
        <f>IF(Y$4&gt;N('Болжамдар'!$C$13),INDEX($D19:$AM19,1,MAX(1,Y$4-N('Болжамдар'!$C$13))),0)*N('Болжамдар'!$C$12)+IF(Y$4=1,N('Болжамдар'!$C$8),0)</f>
      </c>
      <c r="Z20" s="23">
        <f>IF(Z$4&gt;N('Болжамдар'!$C$13),INDEX($D19:$AM19,1,MAX(1,Z$4-N('Болжамдар'!$C$13))),0)*N('Болжамдар'!$C$12)+IF(Z$4=1,N('Болжамдар'!$C$8),0)</f>
      </c>
      <c r="AA20" s="23">
        <f>IF(AA$4&gt;N('Болжамдар'!$C$13),INDEX($D19:$AM19,1,MAX(1,AA$4-N('Болжамдар'!$C$13))),0)*N('Болжамдар'!$C$12)+IF(AA$4=1,N('Болжамдар'!$C$8),0)</f>
      </c>
      <c r="AB20" s="23">
        <f>IF(AB$4&gt;N('Болжамдар'!$C$13),INDEX($D19:$AM19,1,MAX(1,AB$4-N('Болжамдар'!$C$13))),0)*N('Болжамдар'!$C$12)+IF(AB$4=1,N('Болжамдар'!$C$8),0)</f>
      </c>
      <c r="AC20" s="23">
        <f>IF(AC$4&gt;N('Болжамдар'!$C$13),INDEX($D19:$AM19,1,MAX(1,AC$4-N('Болжамдар'!$C$13))),0)*N('Болжамдар'!$C$12)+IF(AC$4=1,N('Болжамдар'!$C$8),0)</f>
      </c>
      <c r="AD20" s="23">
        <f>IF(AD$4&gt;N('Болжамдар'!$C$13),INDEX($D19:$AM19,1,MAX(1,AD$4-N('Болжамдар'!$C$13))),0)*N('Болжамдар'!$C$12)+IF(AD$4=1,N('Болжамдар'!$C$8),0)</f>
      </c>
      <c r="AE20" s="23">
        <f>IF(AE$4&gt;N('Болжамдар'!$C$13),INDEX($D19:$AM19,1,MAX(1,AE$4-N('Болжамдар'!$C$13))),0)*N('Болжамдар'!$C$12)+IF(AE$4=1,N('Болжамдар'!$C$8),0)</f>
      </c>
      <c r="AF20" s="23">
        <f>IF(AF$4&gt;N('Болжамдар'!$C$13),INDEX($D19:$AM19,1,MAX(1,AF$4-N('Болжамдар'!$C$13))),0)*N('Болжамдар'!$C$12)+IF(AF$4=1,N('Болжамдар'!$C$8),0)</f>
      </c>
      <c r="AG20" s="23">
        <f>IF(AG$4&gt;N('Болжамдар'!$C$13),INDEX($D19:$AM19,1,MAX(1,AG$4-N('Болжамдар'!$C$13))),0)*N('Болжамдар'!$C$12)+IF(AG$4=1,N('Болжамдар'!$C$8),0)</f>
      </c>
      <c r="AH20" s="23">
        <f>IF(AH$4&gt;N('Болжамдар'!$C$13),INDEX($D19:$AM19,1,MAX(1,AH$4-N('Болжамдар'!$C$13))),0)*N('Болжамдар'!$C$12)+IF(AH$4=1,N('Болжамдар'!$C$8),0)</f>
      </c>
      <c r="AI20" s="23">
        <f>IF(AI$4&gt;N('Болжамдар'!$C$13),INDEX($D19:$AM19,1,MAX(1,AI$4-N('Болжамдар'!$C$13))),0)*N('Болжамдар'!$C$12)+IF(AI$4=1,N('Болжамдар'!$C$8),0)</f>
      </c>
      <c r="AJ20" s="23">
        <f>IF(AJ$4&gt;N('Болжамдар'!$C$13),INDEX($D19:$AM19,1,MAX(1,AJ$4-N('Болжамдар'!$C$13))),0)*N('Болжамдар'!$C$12)+IF(AJ$4=1,N('Болжамдар'!$C$8),0)</f>
      </c>
      <c r="AK20" s="23">
        <f>IF(AK$4&gt;N('Болжамдар'!$C$13),INDEX($D19:$AM19,1,MAX(1,AK$4-N('Болжамдар'!$C$13))),0)*N('Болжамдар'!$C$12)+IF(AK$4=1,N('Болжамдар'!$C$8),0)</f>
      </c>
      <c r="AL20" s="23">
        <f>IF(AL$4&gt;N('Болжамдар'!$C$13),INDEX($D19:$AM19,1,MAX(1,AL$4-N('Болжамдар'!$C$13))),0)*N('Болжамдар'!$C$12)+IF(AL$4=1,N('Болжамдар'!$C$8),0)</f>
      </c>
      <c r="AM20" s="23">
        <f>IF(AM$4&gt;N('Болжамдар'!$C$13),INDEX($D19:$AM19,1,MAX(1,AM$4-N('Болжамдар'!$C$13))),0)*N('Болжамдар'!$C$12)+IF(AM$4=1,N('Болжамдар'!$C$8),0)</f>
      </c>
    </row>
    <row r="21" spans="1:39" x14ac:dyDescent="0.25">
      <c r="A21" s="26" t="s">
        <v>69</v>
      </c>
      <c r="B21" t="s">
        <v>34</v>
      </c>
      <c r="C21" s="23">
        <f>SUM(D21:AM21)</f>
      </c>
      <c r="D21" s="23">
        <f>IF(D$4=1,0,0)</f>
      </c>
      <c r="E21" s="23">
        <f>D22*N('Болжамдар'!$C$14)</f>
      </c>
      <c r="F21" s="23">
        <f>E22*N('Болжамдар'!$C$14)</f>
      </c>
      <c r="G21" s="23">
        <f>F22*N('Болжамдар'!$C$14)</f>
      </c>
      <c r="H21" s="23">
        <f>G22*N('Болжамдар'!$C$14)</f>
      </c>
      <c r="I21" s="23">
        <f>H22*N('Болжамдар'!$C$14)</f>
      </c>
      <c r="J21" s="23">
        <f>I22*N('Болжамдар'!$C$14)</f>
      </c>
      <c r="K21" s="23">
        <f>J22*N('Болжамдар'!$C$14)</f>
      </c>
      <c r="L21" s="23">
        <f>K22*N('Болжамдар'!$C$14)</f>
      </c>
      <c r="M21" s="23">
        <f>L22*N('Болжамдар'!$C$14)</f>
      </c>
      <c r="N21" s="23">
        <f>M22*N('Болжамдар'!$C$14)</f>
      </c>
      <c r="O21" s="23">
        <f>N22*N('Болжамдар'!$C$14)</f>
      </c>
      <c r="P21" s="23">
        <f>O22*N('Болжамдар'!$C$14)</f>
      </c>
      <c r="Q21" s="23">
        <f>P22*N('Болжамдар'!$C$14)</f>
      </c>
      <c r="R21" s="23">
        <f>Q22*N('Болжамдар'!$C$14)</f>
      </c>
      <c r="S21" s="23">
        <f>R22*N('Болжамдар'!$C$14)</f>
      </c>
      <c r="T21" s="23">
        <f>S22*N('Болжамдар'!$C$14)</f>
      </c>
      <c r="U21" s="23">
        <f>T22*N('Болжамдар'!$C$14)</f>
      </c>
      <c r="V21" s="23">
        <f>U22*N('Болжамдар'!$C$14)</f>
      </c>
      <c r="W21" s="23">
        <f>V22*N('Болжамдар'!$C$14)</f>
      </c>
      <c r="X21" s="23">
        <f>W22*N('Болжамдар'!$C$14)</f>
      </c>
      <c r="Y21" s="23">
        <f>X22*N('Болжамдар'!$C$14)</f>
      </c>
      <c r="Z21" s="23">
        <f>Y22*N('Болжамдар'!$C$14)</f>
      </c>
      <c r="AA21" s="23">
        <f>Z22*N('Болжамдар'!$C$14)</f>
      </c>
      <c r="AB21" s="23">
        <f>AA22*N('Болжамдар'!$C$14)</f>
      </c>
      <c r="AC21" s="23">
        <f>AB22*N('Болжамдар'!$C$14)</f>
      </c>
      <c r="AD21" s="23">
        <f>AC22*N('Болжамдар'!$C$14)</f>
      </c>
      <c r="AE21" s="23">
        <f>AD22*N('Болжамдар'!$C$14)</f>
      </c>
      <c r="AF21" s="23">
        <f>AE22*N('Болжамдар'!$C$14)</f>
      </c>
      <c r="AG21" s="23">
        <f>AF22*N('Болжамдар'!$C$14)</f>
      </c>
      <c r="AH21" s="23">
        <f>AG22*N('Болжамдар'!$C$14)</f>
      </c>
      <c r="AI21" s="23">
        <f>AH22*N('Болжамдар'!$C$14)</f>
      </c>
      <c r="AJ21" s="23">
        <f>AI22*N('Болжамдар'!$C$14)</f>
      </c>
      <c r="AK21" s="23">
        <f>AJ22*N('Болжамдар'!$C$14)</f>
      </c>
      <c r="AL21" s="23">
        <f>AK22*N('Болжамдар'!$C$14)</f>
      </c>
      <c r="AM21" s="23">
        <f>AL22*N('Болжамдар'!$C$14)</f>
      </c>
    </row>
    <row r="22" spans="1:39" x14ac:dyDescent="0.25">
      <c r="A22" s="26" t="s">
        <v>70</v>
      </c>
      <c r="B22" t="s">
        <v>34</v>
      </c>
      <c r="C22" s="23">
        <f>AM22</f>
      </c>
      <c r="D22" s="23">
        <f>0+D20-D21</f>
      </c>
      <c r="E22" s="23">
        <f>D22+E20-E21</f>
      </c>
      <c r="F22" s="23">
        <f>E22+F20-F21</f>
      </c>
      <c r="G22" s="23">
        <f>F22+G20-G21</f>
      </c>
      <c r="H22" s="23">
        <f>G22+H20-H21</f>
      </c>
      <c r="I22" s="23">
        <f>H22+I20-I21</f>
      </c>
      <c r="J22" s="23">
        <f>I22+J20-J21</f>
      </c>
      <c r="K22" s="23">
        <f>J22+K20-K21</f>
      </c>
      <c r="L22" s="23">
        <f>K22+L20-L21</f>
      </c>
      <c r="M22" s="23">
        <f>L22+M20-M21</f>
      </c>
      <c r="N22" s="23">
        <f>M22+N20-N21</f>
      </c>
      <c r="O22" s="23">
        <f>N22+O20-O21</f>
      </c>
      <c r="P22" s="23">
        <f>O22+P20-P21</f>
      </c>
      <c r="Q22" s="23">
        <f>P22+Q20-Q21</f>
      </c>
      <c r="R22" s="23">
        <f>Q22+R20-R21</f>
      </c>
      <c r="S22" s="23">
        <f>R22+S20-S21</f>
      </c>
      <c r="T22" s="23">
        <f>S22+T20-T21</f>
      </c>
      <c r="U22" s="23">
        <f>T22+U20-U21</f>
      </c>
      <c r="V22" s="23">
        <f>U22+V20-V21</f>
      </c>
      <c r="W22" s="23">
        <f>V22+W20-W21</f>
      </c>
      <c r="X22" s="23">
        <f>W22+X20-X21</f>
      </c>
      <c r="Y22" s="23">
        <f>X22+Y20-Y21</f>
      </c>
      <c r="Z22" s="23">
        <f>Y22+Z20-Z21</f>
      </c>
      <c r="AA22" s="23">
        <f>Z22+AA20-AA21</f>
      </c>
      <c r="AB22" s="23">
        <f>AA22+AB20-AB21</f>
      </c>
      <c r="AC22" s="23">
        <f>AB22+AC20-AC21</f>
      </c>
      <c r="AD22" s="23">
        <f>AC22+AD20-AD21</f>
      </c>
      <c r="AE22" s="23">
        <f>AD22+AE20-AE21</f>
      </c>
      <c r="AF22" s="23">
        <f>AE22+AF20-AF21</f>
      </c>
      <c r="AG22" s="23">
        <f>AF22+AG20-AG21</f>
      </c>
      <c r="AH22" s="23">
        <f>AG22+AH20-AH21</f>
      </c>
      <c r="AI22" s="23">
        <f>AH22+AI20-AI21</f>
      </c>
      <c r="AJ22" s="23">
        <f>AI22+AJ20-AJ21</f>
      </c>
      <c r="AK22" s="23">
        <f>AJ22+AK20-AK21</f>
      </c>
      <c r="AL22" s="23">
        <f>AK22+AL20-AL21</f>
      </c>
      <c r="AM22" s="23">
        <f>AL22+AM20-AM21</f>
      </c>
    </row>
    <row r="23" spans="1:39" x14ac:dyDescent="0.25">
      <c r="A23" s="26" t="s">
        <v>71</v>
      </c>
      <c r="B23" t="s">
        <v>32</v>
      </c>
      <c r="C23" s="16">
        <f>AM23</f>
      </c>
      <c r="D23" s="16">
        <f>D22*N('Болжамдар'!$C$7)</f>
      </c>
      <c r="E23" s="16">
        <f>E22*N('Болжамдар'!$C$7)</f>
      </c>
      <c r="F23" s="16">
        <f>F22*N('Болжамдар'!$C$7)</f>
      </c>
      <c r="G23" s="16">
        <f>G22*N('Болжамдар'!$C$7)</f>
      </c>
      <c r="H23" s="16">
        <f>H22*N('Болжамдар'!$C$7)</f>
      </c>
      <c r="I23" s="16">
        <f>I22*N('Болжамдар'!$C$7)</f>
      </c>
      <c r="J23" s="16">
        <f>J22*N('Болжамдар'!$C$7)</f>
      </c>
      <c r="K23" s="16">
        <f>K22*N('Болжамдар'!$C$7)</f>
      </c>
      <c r="L23" s="16">
        <f>L22*N('Болжамдар'!$C$7)</f>
      </c>
      <c r="M23" s="16">
        <f>M22*N('Болжамдар'!$C$7)</f>
      </c>
      <c r="N23" s="16">
        <f>N22*N('Болжамдар'!$C$7)</f>
      </c>
      <c r="O23" s="16">
        <f>O22*N('Болжамдар'!$C$7)</f>
      </c>
      <c r="P23" s="16">
        <f>P22*N('Болжамдар'!$C$7)</f>
      </c>
      <c r="Q23" s="16">
        <f>Q22*N('Болжамдар'!$C$7)</f>
      </c>
      <c r="R23" s="16">
        <f>R22*N('Болжамдар'!$C$7)</f>
      </c>
      <c r="S23" s="16">
        <f>S22*N('Болжамдар'!$C$7)</f>
      </c>
      <c r="T23" s="16">
        <f>T22*N('Болжамдар'!$C$7)</f>
      </c>
      <c r="U23" s="16">
        <f>U22*N('Болжамдар'!$C$7)</f>
      </c>
      <c r="V23" s="16">
        <f>V22*N('Болжамдар'!$C$7)</f>
      </c>
      <c r="W23" s="16">
        <f>W22*N('Болжамдар'!$C$7)</f>
      </c>
      <c r="X23" s="16">
        <f>X22*N('Болжамдар'!$C$7)</f>
      </c>
      <c r="Y23" s="16">
        <f>Y22*N('Болжамдар'!$C$7)</f>
      </c>
      <c r="Z23" s="16">
        <f>Z22*N('Болжамдар'!$C$7)</f>
      </c>
      <c r="AA23" s="16">
        <f>AA22*N('Болжамдар'!$C$7)</f>
      </c>
      <c r="AB23" s="16">
        <f>AB22*N('Болжамдар'!$C$7)</f>
      </c>
      <c r="AC23" s="16">
        <f>AC22*N('Болжамдар'!$C$7)</f>
      </c>
      <c r="AD23" s="16">
        <f>AD22*N('Болжамдар'!$C$7)</f>
      </c>
      <c r="AE23" s="16">
        <f>AE22*N('Болжамдар'!$C$7)</f>
      </c>
      <c r="AF23" s="16">
        <f>AF22*N('Болжамдар'!$C$7)</f>
      </c>
      <c r="AG23" s="16">
        <f>AG22*N('Болжамдар'!$C$7)</f>
      </c>
      <c r="AH23" s="16">
        <f>AH22*N('Болжамдар'!$C$7)</f>
      </c>
      <c r="AI23" s="16">
        <f>AI22*N('Болжамдар'!$C$7)</f>
      </c>
      <c r="AJ23" s="16">
        <f>AJ22*N('Болжамдар'!$C$7)</f>
      </c>
      <c r="AK23" s="16">
        <f>AK22*N('Болжамдар'!$C$7)</f>
      </c>
      <c r="AL23" s="16">
        <f>AL22*N('Болжамдар'!$C$7)</f>
      </c>
      <c r="AM23" s="16">
        <f>AM22*N('Болжамдар'!$C$7)</f>
      </c>
    </row>
    <row r="24" spans="1:39" x14ac:dyDescent="0.25">
      <c r="A24" s="26" t="s">
        <v>72</v>
      </c>
      <c r="B24" t="s">
        <v>73</v>
      </c>
      <c r="C24" s="16">
        <f>AM24</f>
      </c>
      <c r="D24" s="16">
        <f>D23*N('Болжамдар'!$C$6)/12</f>
      </c>
      <c r="E24" s="16">
        <f>E23*N('Болжамдар'!$C$6)/12</f>
      </c>
      <c r="F24" s="16">
        <f>F23*N('Болжамдар'!$C$6)/12</f>
      </c>
      <c r="G24" s="16">
        <f>G23*N('Болжамдар'!$C$6)/12</f>
      </c>
      <c r="H24" s="16">
        <f>H23*N('Болжамдар'!$C$6)/12</f>
      </c>
      <c r="I24" s="16">
        <f>I23*N('Болжамдар'!$C$6)/12</f>
      </c>
      <c r="J24" s="16">
        <f>J23*N('Болжамдар'!$C$6)/12</f>
      </c>
      <c r="K24" s="16">
        <f>K23*N('Болжамдар'!$C$6)/12</f>
      </c>
      <c r="L24" s="16">
        <f>L23*N('Болжамдар'!$C$6)/12</f>
      </c>
      <c r="M24" s="16">
        <f>M23*N('Болжамдар'!$C$6)/12</f>
      </c>
      <c r="N24" s="16">
        <f>N23*N('Болжамдар'!$C$6)/12</f>
      </c>
      <c r="O24" s="16">
        <f>O23*N('Болжамдар'!$C$6)/12</f>
      </c>
      <c r="P24" s="16">
        <f>P23*N('Болжамдар'!$C$6)/12</f>
      </c>
      <c r="Q24" s="16">
        <f>Q23*N('Болжамдар'!$C$6)/12</f>
      </c>
      <c r="R24" s="16">
        <f>R23*N('Болжамдар'!$C$6)/12</f>
      </c>
      <c r="S24" s="16">
        <f>S23*N('Болжамдар'!$C$6)/12</f>
      </c>
      <c r="T24" s="16">
        <f>T23*N('Болжамдар'!$C$6)/12</f>
      </c>
      <c r="U24" s="16">
        <f>U23*N('Болжамдар'!$C$6)/12</f>
      </c>
      <c r="V24" s="16">
        <f>V23*N('Болжамдар'!$C$6)/12</f>
      </c>
      <c r="W24" s="16">
        <f>W23*N('Болжамдар'!$C$6)/12</f>
      </c>
      <c r="X24" s="16">
        <f>X23*N('Болжамдар'!$C$6)/12</f>
      </c>
      <c r="Y24" s="16">
        <f>Y23*N('Болжамдар'!$C$6)/12</f>
      </c>
      <c r="Z24" s="16">
        <f>Z23*N('Болжамдар'!$C$6)/12</f>
      </c>
      <c r="AA24" s="16">
        <f>AA23*N('Болжамдар'!$C$6)/12</f>
      </c>
      <c r="AB24" s="16">
        <f>AB23*N('Болжамдар'!$C$6)/12</f>
      </c>
      <c r="AC24" s="16">
        <f>AC23*N('Болжамдар'!$C$6)/12</f>
      </c>
      <c r="AD24" s="16">
        <f>AD23*N('Болжамдар'!$C$6)/12</f>
      </c>
      <c r="AE24" s="16">
        <f>AE23*N('Болжамдар'!$C$6)/12</f>
      </c>
      <c r="AF24" s="16">
        <f>AF23*N('Болжамдар'!$C$6)/12</f>
      </c>
      <c r="AG24" s="16">
        <f>AG23*N('Болжамдар'!$C$6)/12</f>
      </c>
      <c r="AH24" s="16">
        <f>AH23*N('Болжамдар'!$C$6)/12</f>
      </c>
      <c r="AI24" s="16">
        <f>AI23*N('Болжамдар'!$C$6)/12</f>
      </c>
      <c r="AJ24" s="16">
        <f>AJ23*N('Болжамдар'!$C$6)/12</f>
      </c>
      <c r="AK24" s="16">
        <f>AK23*N('Болжамдар'!$C$6)/12</f>
      </c>
      <c r="AL24" s="16">
        <f>AL23*N('Болжамдар'!$C$6)/12</f>
      </c>
      <c r="AM24" s="16">
        <f>AM23*N('Болжамдар'!$C$6)/12</f>
      </c>
    </row>
    <row r="25" spans="1:39" x14ac:dyDescent="0.25">
      <c r="A25" s="26" t="s">
        <v>74</v>
      </c>
      <c r="B25" t="s">
        <v>75</v>
      </c>
      <c r="C25" s="16">
        <f>AM25</f>
      </c>
      <c r="D25" s="16">
        <f>D24*12</f>
      </c>
      <c r="E25" s="16">
        <f>E24*12</f>
      </c>
      <c r="F25" s="16">
        <f>F24*12</f>
      </c>
      <c r="G25" s="16">
        <f>G24*12</f>
      </c>
      <c r="H25" s="16">
        <f>H24*12</f>
      </c>
      <c r="I25" s="16">
        <f>I24*12</f>
      </c>
      <c r="J25" s="16">
        <f>J24*12</f>
      </c>
      <c r="K25" s="16">
        <f>K24*12</f>
      </c>
      <c r="L25" s="16">
        <f>L24*12</f>
      </c>
      <c r="M25" s="16">
        <f>M24*12</f>
      </c>
      <c r="N25" s="16">
        <f>N24*12</f>
      </c>
      <c r="O25" s="16">
        <f>O24*12</f>
      </c>
      <c r="P25" s="16">
        <f>P24*12</f>
      </c>
      <c r="Q25" s="16">
        <f>Q24*12</f>
      </c>
      <c r="R25" s="16">
        <f>R24*12</f>
      </c>
      <c r="S25" s="16">
        <f>S24*12</f>
      </c>
      <c r="T25" s="16">
        <f>T24*12</f>
      </c>
      <c r="U25" s="16">
        <f>U24*12</f>
      </c>
      <c r="V25" s="16">
        <f>V24*12</f>
      </c>
      <c r="W25" s="16">
        <f>W24*12</f>
      </c>
      <c r="X25" s="16">
        <f>X24*12</f>
      </c>
      <c r="Y25" s="16">
        <f>Y24*12</f>
      </c>
      <c r="Z25" s="16">
        <f>Z24*12</f>
      </c>
      <c r="AA25" s="16">
        <f>AA24*12</f>
      </c>
      <c r="AB25" s="16">
        <f>AB24*12</f>
      </c>
      <c r="AC25" s="16">
        <f>AC24*12</f>
      </c>
      <c r="AD25" s="16">
        <f>AD24*12</f>
      </c>
      <c r="AE25" s="16">
        <f>AE24*12</f>
      </c>
      <c r="AF25" s="16">
        <f>AF24*12</f>
      </c>
      <c r="AG25" s="16">
        <f>AG24*12</f>
      </c>
      <c r="AH25" s="16">
        <f>AH24*12</f>
      </c>
      <c r="AI25" s="16">
        <f>AI24*12</f>
      </c>
      <c r="AJ25" s="16">
        <f>AJ24*12</f>
      </c>
      <c r="AK25" s="16">
        <f>AK24*12</f>
      </c>
      <c r="AL25" s="16">
        <f>AL24*12</f>
      </c>
      <c r="AM25" s="16">
        <f>AM24*12</f>
      </c>
    </row>
    <row r="26" spans="1:39" x14ac:dyDescent="0.25">
      <c r="A26" s="26" t="s">
        <v>76</v>
      </c>
      <c r="B26" t="s">
        <v>29</v>
      </c>
      <c r="C26" s="16">
        <f>SUM(D26:AM26)</f>
      </c>
      <c r="D26" s="16">
        <f>D24</f>
      </c>
      <c r="E26" s="16">
        <f>E24</f>
      </c>
      <c r="F26" s="16">
        <f>F24</f>
      </c>
      <c r="G26" s="16">
        <f>G24</f>
      </c>
      <c r="H26" s="16">
        <f>H24</f>
      </c>
      <c r="I26" s="16">
        <f>I24</f>
      </c>
      <c r="J26" s="16">
        <f>J24</f>
      </c>
      <c r="K26" s="16">
        <f>K24</f>
      </c>
      <c r="L26" s="16">
        <f>L24</f>
      </c>
      <c r="M26" s="16">
        <f>M24</f>
      </c>
      <c r="N26" s="16">
        <f>N24</f>
      </c>
      <c r="O26" s="16">
        <f>O24</f>
      </c>
      <c r="P26" s="16">
        <f>P24</f>
      </c>
      <c r="Q26" s="16">
        <f>Q24</f>
      </c>
      <c r="R26" s="16">
        <f>R24</f>
      </c>
      <c r="S26" s="16">
        <f>S24</f>
      </c>
      <c r="T26" s="16">
        <f>T24</f>
      </c>
      <c r="U26" s="16">
        <f>U24</f>
      </c>
      <c r="V26" s="16">
        <f>V24</f>
      </c>
      <c r="W26" s="16">
        <f>W24</f>
      </c>
      <c r="X26" s="16">
        <f>X24</f>
      </c>
      <c r="Y26" s="16">
        <f>Y24</f>
      </c>
      <c r="Z26" s="16">
        <f>Z24</f>
      </c>
      <c r="AA26" s="16">
        <f>AA24</f>
      </c>
      <c r="AB26" s="16">
        <f>AB24</f>
      </c>
      <c r="AC26" s="16">
        <f>AC24</f>
      </c>
      <c r="AD26" s="16">
        <f>AD24</f>
      </c>
      <c r="AE26" s="16">
        <f>AE24</f>
      </c>
      <c r="AF26" s="16">
        <f>AF24</f>
      </c>
      <c r="AG26" s="16">
        <f>AG24</f>
      </c>
      <c r="AH26" s="16">
        <f>AH24</f>
      </c>
      <c r="AI26" s="16">
        <f>AI24</f>
      </c>
      <c r="AJ26" s="16">
        <f>AJ24</f>
      </c>
      <c r="AK26" s="16">
        <f>AK24</f>
      </c>
      <c r="AL26" s="16">
        <f>AL24</f>
      </c>
      <c r="AM26" s="16">
        <f>AM24</f>
      </c>
    </row>
    <row r="29" spans="1:1" x14ac:dyDescent="0.25">
      <c r="A29" s="25" t="s">
        <v>78</v>
      </c>
    </row>
    <row r="30" spans="1:39" x14ac:dyDescent="0.25">
      <c r="A30" s="26" t="s">
        <v>66</v>
      </c>
      <c r="B30" t="s">
        <v>34</v>
      </c>
      <c r="C30" s="23">
        <f>SUM(D30:AM30)</f>
      </c>
      <c r="D30" s="23">
        <f>N('Болжамдар'!$D$10)</f>
      </c>
      <c r="E30" s="23">
        <f>N('Болжамдар'!$D$10)</f>
      </c>
      <c r="F30" s="23">
        <f>N('Болжамдар'!$D$10)</f>
      </c>
      <c r="G30" s="23">
        <f>N('Болжамдар'!$D$10)</f>
      </c>
      <c r="H30" s="23">
        <f>N('Болжамдар'!$D$10)</f>
      </c>
      <c r="I30" s="23">
        <f>N('Болжамдар'!$D$10)</f>
      </c>
      <c r="J30" s="23">
        <f>N('Болжамдар'!$D$10)</f>
      </c>
      <c r="K30" s="23">
        <f>N('Болжамдар'!$D$10)</f>
      </c>
      <c r="L30" s="23">
        <f>N('Болжамдар'!$D$10)</f>
      </c>
      <c r="M30" s="23">
        <f>N('Болжамдар'!$D$10)</f>
      </c>
      <c r="N30" s="23">
        <f>N('Болжамдар'!$D$10)</f>
      </c>
      <c r="O30" s="23">
        <f>N('Болжамдар'!$D$10)</f>
      </c>
      <c r="P30" s="23">
        <f>N('Болжамдар'!$D$10)</f>
      </c>
      <c r="Q30" s="23">
        <f>N('Болжамдар'!$D$10)</f>
      </c>
      <c r="R30" s="23">
        <f>N('Болжамдар'!$D$10)</f>
      </c>
      <c r="S30" s="23">
        <f>N('Болжамдар'!$D$10)</f>
      </c>
      <c r="T30" s="23">
        <f>N('Болжамдар'!$D$10)</f>
      </c>
      <c r="U30" s="23">
        <f>N('Болжамдар'!$D$10)</f>
      </c>
      <c r="V30" s="23">
        <f>N('Болжамдар'!$D$10)</f>
      </c>
      <c r="W30" s="23">
        <f>N('Болжамдар'!$D$10)</f>
      </c>
      <c r="X30" s="23">
        <f>N('Болжамдар'!$D$10)</f>
      </c>
      <c r="Y30" s="23">
        <f>N('Болжамдар'!$D$10)</f>
      </c>
      <c r="Z30" s="23">
        <f>N('Болжамдар'!$D$10)</f>
      </c>
      <c r="AA30" s="23">
        <f>N('Болжамдар'!$D$10)</f>
      </c>
      <c r="AB30" s="23">
        <f>N('Болжамдар'!$D$10)</f>
      </c>
      <c r="AC30" s="23">
        <f>N('Болжамдар'!$D$10)</f>
      </c>
      <c r="AD30" s="23">
        <f>N('Болжамдар'!$D$10)</f>
      </c>
      <c r="AE30" s="23">
        <f>N('Болжамдар'!$D$10)</f>
      </c>
      <c r="AF30" s="23">
        <f>N('Болжамдар'!$D$10)</f>
      </c>
      <c r="AG30" s="23">
        <f>N('Болжамдар'!$D$10)</f>
      </c>
      <c r="AH30" s="23">
        <f>N('Болжамдар'!$D$10)</f>
      </c>
      <c r="AI30" s="23">
        <f>N('Болжамдар'!$D$10)</f>
      </c>
      <c r="AJ30" s="23">
        <f>N('Болжамдар'!$D$10)</f>
      </c>
      <c r="AK30" s="23">
        <f>N('Болжамдар'!$D$10)</f>
      </c>
      <c r="AL30" s="23">
        <f>N('Болжамдар'!$D$10)</f>
      </c>
      <c r="AM30" s="23">
        <f>N('Болжамдар'!$D$10)</f>
      </c>
    </row>
    <row r="31" spans="1:39" x14ac:dyDescent="0.25">
      <c r="A31" s="26" t="s">
        <v>67</v>
      </c>
      <c r="B31" t="s">
        <v>34</v>
      </c>
      <c r="C31" s="23">
        <f>SUM(D31:AM31)</f>
      </c>
      <c r="D31" s="23">
        <f>D30*N('Болжамдар'!$D$11)</f>
      </c>
      <c r="E31" s="23">
        <f>E30*N('Болжамдар'!$D$11)</f>
      </c>
      <c r="F31" s="23">
        <f>F30*N('Болжамдар'!$D$11)</f>
      </c>
      <c r="G31" s="23">
        <f>G30*N('Болжамдар'!$D$11)</f>
      </c>
      <c r="H31" s="23">
        <f>H30*N('Болжамдар'!$D$11)</f>
      </c>
      <c r="I31" s="23">
        <f>I30*N('Болжамдар'!$D$11)</f>
      </c>
      <c r="J31" s="23">
        <f>J30*N('Болжамдар'!$D$11)</f>
      </c>
      <c r="K31" s="23">
        <f>K30*N('Болжамдар'!$D$11)</f>
      </c>
      <c r="L31" s="23">
        <f>L30*N('Болжамдар'!$D$11)</f>
      </c>
      <c r="M31" s="23">
        <f>M30*N('Болжамдар'!$D$11)</f>
      </c>
      <c r="N31" s="23">
        <f>N30*N('Болжамдар'!$D$11)</f>
      </c>
      <c r="O31" s="23">
        <f>O30*N('Болжамдар'!$D$11)</f>
      </c>
      <c r="P31" s="23">
        <f>P30*N('Болжамдар'!$D$11)</f>
      </c>
      <c r="Q31" s="23">
        <f>Q30*N('Болжамдар'!$D$11)</f>
      </c>
      <c r="R31" s="23">
        <f>R30*N('Болжамдар'!$D$11)</f>
      </c>
      <c r="S31" s="23">
        <f>S30*N('Болжамдар'!$D$11)</f>
      </c>
      <c r="T31" s="23">
        <f>T30*N('Болжамдар'!$D$11)</f>
      </c>
      <c r="U31" s="23">
        <f>U30*N('Болжамдар'!$D$11)</f>
      </c>
      <c r="V31" s="23">
        <f>V30*N('Болжамдар'!$D$11)</f>
      </c>
      <c r="W31" s="23">
        <f>W30*N('Болжамдар'!$D$11)</f>
      </c>
      <c r="X31" s="23">
        <f>X30*N('Болжамдар'!$D$11)</f>
      </c>
      <c r="Y31" s="23">
        <f>Y30*N('Болжамдар'!$D$11)</f>
      </c>
      <c r="Z31" s="23">
        <f>Z30*N('Болжамдар'!$D$11)</f>
      </c>
      <c r="AA31" s="23">
        <f>AA30*N('Болжамдар'!$D$11)</f>
      </c>
      <c r="AB31" s="23">
        <f>AB30*N('Болжамдар'!$D$11)</f>
      </c>
      <c r="AC31" s="23">
        <f>AC30*N('Болжамдар'!$D$11)</f>
      </c>
      <c r="AD31" s="23">
        <f>AD30*N('Болжамдар'!$D$11)</f>
      </c>
      <c r="AE31" s="23">
        <f>AE30*N('Болжамдар'!$D$11)</f>
      </c>
      <c r="AF31" s="23">
        <f>AF30*N('Болжамдар'!$D$11)</f>
      </c>
      <c r="AG31" s="23">
        <f>AG30*N('Болжамдар'!$D$11)</f>
      </c>
      <c r="AH31" s="23">
        <f>AH30*N('Болжамдар'!$D$11)</f>
      </c>
      <c r="AI31" s="23">
        <f>AI30*N('Болжамдар'!$D$11)</f>
      </c>
      <c r="AJ31" s="23">
        <f>AJ30*N('Болжамдар'!$D$11)</f>
      </c>
      <c r="AK31" s="23">
        <f>AK30*N('Болжамдар'!$D$11)</f>
      </c>
      <c r="AL31" s="23">
        <f>AL30*N('Болжамдар'!$D$11)</f>
      </c>
      <c r="AM31" s="23">
        <f>AM30*N('Болжамдар'!$D$11)</f>
      </c>
    </row>
    <row r="32" spans="1:39" x14ac:dyDescent="0.25">
      <c r="A32" s="26" t="s">
        <v>68</v>
      </c>
      <c r="B32" t="s">
        <v>34</v>
      </c>
      <c r="C32" s="23">
        <f>SUM(D32:AM32)</f>
      </c>
      <c r="D32" s="23">
        <f>IF(D$4&gt;N('Болжамдар'!$D$13),INDEX($D31:$AM31,1,MAX(1,D$4-N('Болжамдар'!$D$13))),0)*N('Болжамдар'!$D$12)+IF(D$4=1,N('Болжамдар'!$D$8),0)</f>
      </c>
      <c r="E32" s="23">
        <f>IF(E$4&gt;N('Болжамдар'!$D$13),INDEX($D31:$AM31,1,MAX(1,E$4-N('Болжамдар'!$D$13))),0)*N('Болжамдар'!$D$12)+IF(E$4=1,N('Болжамдар'!$D$8),0)</f>
      </c>
      <c r="F32" s="23">
        <f>IF(F$4&gt;N('Болжамдар'!$D$13),INDEX($D31:$AM31,1,MAX(1,F$4-N('Болжамдар'!$D$13))),0)*N('Болжамдар'!$D$12)+IF(F$4=1,N('Болжамдар'!$D$8),0)</f>
      </c>
      <c r="G32" s="23">
        <f>IF(G$4&gt;N('Болжамдар'!$D$13),INDEX($D31:$AM31,1,MAX(1,G$4-N('Болжамдар'!$D$13))),0)*N('Болжамдар'!$D$12)+IF(G$4=1,N('Болжамдар'!$D$8),0)</f>
      </c>
      <c r="H32" s="23">
        <f>IF(H$4&gt;N('Болжамдар'!$D$13),INDEX($D31:$AM31,1,MAX(1,H$4-N('Болжамдар'!$D$13))),0)*N('Болжамдар'!$D$12)+IF(H$4=1,N('Болжамдар'!$D$8),0)</f>
      </c>
      <c r="I32" s="23">
        <f>IF(I$4&gt;N('Болжамдар'!$D$13),INDEX($D31:$AM31,1,MAX(1,I$4-N('Болжамдар'!$D$13))),0)*N('Болжамдар'!$D$12)+IF(I$4=1,N('Болжамдар'!$D$8),0)</f>
      </c>
      <c r="J32" s="23">
        <f>IF(J$4&gt;N('Болжамдар'!$D$13),INDEX($D31:$AM31,1,MAX(1,J$4-N('Болжамдар'!$D$13))),0)*N('Болжамдар'!$D$12)+IF(J$4=1,N('Болжамдар'!$D$8),0)</f>
      </c>
      <c r="K32" s="23">
        <f>IF(K$4&gt;N('Болжамдар'!$D$13),INDEX($D31:$AM31,1,MAX(1,K$4-N('Болжамдар'!$D$13))),0)*N('Болжамдар'!$D$12)+IF(K$4=1,N('Болжамдар'!$D$8),0)</f>
      </c>
      <c r="L32" s="23">
        <f>IF(L$4&gt;N('Болжамдар'!$D$13),INDEX($D31:$AM31,1,MAX(1,L$4-N('Болжамдар'!$D$13))),0)*N('Болжамдар'!$D$12)+IF(L$4=1,N('Болжамдар'!$D$8),0)</f>
      </c>
      <c r="M32" s="23">
        <f>IF(M$4&gt;N('Болжамдар'!$D$13),INDEX($D31:$AM31,1,MAX(1,M$4-N('Болжамдар'!$D$13))),0)*N('Болжамдар'!$D$12)+IF(M$4=1,N('Болжамдар'!$D$8),0)</f>
      </c>
      <c r="N32" s="23">
        <f>IF(N$4&gt;N('Болжамдар'!$D$13),INDEX($D31:$AM31,1,MAX(1,N$4-N('Болжамдар'!$D$13))),0)*N('Болжамдар'!$D$12)+IF(N$4=1,N('Болжамдар'!$D$8),0)</f>
      </c>
      <c r="O32" s="23">
        <f>IF(O$4&gt;N('Болжамдар'!$D$13),INDEX($D31:$AM31,1,MAX(1,O$4-N('Болжамдар'!$D$13))),0)*N('Болжамдар'!$D$12)+IF(O$4=1,N('Болжамдар'!$D$8),0)</f>
      </c>
      <c r="P32" s="23">
        <f>IF(P$4&gt;N('Болжамдар'!$D$13),INDEX($D31:$AM31,1,MAX(1,P$4-N('Болжамдар'!$D$13))),0)*N('Болжамдар'!$D$12)+IF(P$4=1,N('Болжамдар'!$D$8),0)</f>
      </c>
      <c r="Q32" s="23">
        <f>IF(Q$4&gt;N('Болжамдар'!$D$13),INDEX($D31:$AM31,1,MAX(1,Q$4-N('Болжамдар'!$D$13))),0)*N('Болжамдар'!$D$12)+IF(Q$4=1,N('Болжамдар'!$D$8),0)</f>
      </c>
      <c r="R32" s="23">
        <f>IF(R$4&gt;N('Болжамдар'!$D$13),INDEX($D31:$AM31,1,MAX(1,R$4-N('Болжамдар'!$D$13))),0)*N('Болжамдар'!$D$12)+IF(R$4=1,N('Болжамдар'!$D$8),0)</f>
      </c>
      <c r="S32" s="23">
        <f>IF(S$4&gt;N('Болжамдар'!$D$13),INDEX($D31:$AM31,1,MAX(1,S$4-N('Болжамдар'!$D$13))),0)*N('Болжамдар'!$D$12)+IF(S$4=1,N('Болжамдар'!$D$8),0)</f>
      </c>
      <c r="T32" s="23">
        <f>IF(T$4&gt;N('Болжамдар'!$D$13),INDEX($D31:$AM31,1,MAX(1,T$4-N('Болжамдар'!$D$13))),0)*N('Болжамдар'!$D$12)+IF(T$4=1,N('Болжамдар'!$D$8),0)</f>
      </c>
      <c r="U32" s="23">
        <f>IF(U$4&gt;N('Болжамдар'!$D$13),INDEX($D31:$AM31,1,MAX(1,U$4-N('Болжамдар'!$D$13))),0)*N('Болжамдар'!$D$12)+IF(U$4=1,N('Болжамдар'!$D$8),0)</f>
      </c>
      <c r="V32" s="23">
        <f>IF(V$4&gt;N('Болжамдар'!$D$13),INDEX($D31:$AM31,1,MAX(1,V$4-N('Болжамдар'!$D$13))),0)*N('Болжамдар'!$D$12)+IF(V$4=1,N('Болжамдар'!$D$8),0)</f>
      </c>
      <c r="W32" s="23">
        <f>IF(W$4&gt;N('Болжамдар'!$D$13),INDEX($D31:$AM31,1,MAX(1,W$4-N('Болжамдар'!$D$13))),0)*N('Болжамдар'!$D$12)+IF(W$4=1,N('Болжамдар'!$D$8),0)</f>
      </c>
      <c r="X32" s="23">
        <f>IF(X$4&gt;N('Болжамдар'!$D$13),INDEX($D31:$AM31,1,MAX(1,X$4-N('Болжамдар'!$D$13))),0)*N('Болжамдар'!$D$12)+IF(X$4=1,N('Болжамдар'!$D$8),0)</f>
      </c>
      <c r="Y32" s="23">
        <f>IF(Y$4&gt;N('Болжамдар'!$D$13),INDEX($D31:$AM31,1,MAX(1,Y$4-N('Болжамдар'!$D$13))),0)*N('Болжамдар'!$D$12)+IF(Y$4=1,N('Болжамдар'!$D$8),0)</f>
      </c>
      <c r="Z32" s="23">
        <f>IF(Z$4&gt;N('Болжамдар'!$D$13),INDEX($D31:$AM31,1,MAX(1,Z$4-N('Болжамдар'!$D$13))),0)*N('Болжамдар'!$D$12)+IF(Z$4=1,N('Болжамдар'!$D$8),0)</f>
      </c>
      <c r="AA32" s="23">
        <f>IF(AA$4&gt;N('Болжамдар'!$D$13),INDEX($D31:$AM31,1,MAX(1,AA$4-N('Болжамдар'!$D$13))),0)*N('Болжамдар'!$D$12)+IF(AA$4=1,N('Болжамдар'!$D$8),0)</f>
      </c>
      <c r="AB32" s="23">
        <f>IF(AB$4&gt;N('Болжамдар'!$D$13),INDEX($D31:$AM31,1,MAX(1,AB$4-N('Болжамдар'!$D$13))),0)*N('Болжамдар'!$D$12)+IF(AB$4=1,N('Болжамдар'!$D$8),0)</f>
      </c>
      <c r="AC32" s="23">
        <f>IF(AC$4&gt;N('Болжамдар'!$D$13),INDEX($D31:$AM31,1,MAX(1,AC$4-N('Болжамдар'!$D$13))),0)*N('Болжамдар'!$D$12)+IF(AC$4=1,N('Болжамдар'!$D$8),0)</f>
      </c>
      <c r="AD32" s="23">
        <f>IF(AD$4&gt;N('Болжамдар'!$D$13),INDEX($D31:$AM31,1,MAX(1,AD$4-N('Болжамдар'!$D$13))),0)*N('Болжамдар'!$D$12)+IF(AD$4=1,N('Болжамдар'!$D$8),0)</f>
      </c>
      <c r="AE32" s="23">
        <f>IF(AE$4&gt;N('Болжамдар'!$D$13),INDEX($D31:$AM31,1,MAX(1,AE$4-N('Болжамдар'!$D$13))),0)*N('Болжамдар'!$D$12)+IF(AE$4=1,N('Болжамдар'!$D$8),0)</f>
      </c>
      <c r="AF32" s="23">
        <f>IF(AF$4&gt;N('Болжамдар'!$D$13),INDEX($D31:$AM31,1,MAX(1,AF$4-N('Болжамдар'!$D$13))),0)*N('Болжамдар'!$D$12)+IF(AF$4=1,N('Болжамдар'!$D$8),0)</f>
      </c>
      <c r="AG32" s="23">
        <f>IF(AG$4&gt;N('Болжамдар'!$D$13),INDEX($D31:$AM31,1,MAX(1,AG$4-N('Болжамдар'!$D$13))),0)*N('Болжамдар'!$D$12)+IF(AG$4=1,N('Болжамдар'!$D$8),0)</f>
      </c>
      <c r="AH32" s="23">
        <f>IF(AH$4&gt;N('Болжамдар'!$D$13),INDEX($D31:$AM31,1,MAX(1,AH$4-N('Болжамдар'!$D$13))),0)*N('Болжамдар'!$D$12)+IF(AH$4=1,N('Болжамдар'!$D$8),0)</f>
      </c>
      <c r="AI32" s="23">
        <f>IF(AI$4&gt;N('Болжамдар'!$D$13),INDEX($D31:$AM31,1,MAX(1,AI$4-N('Болжамдар'!$D$13))),0)*N('Болжамдар'!$D$12)+IF(AI$4=1,N('Болжамдар'!$D$8),0)</f>
      </c>
      <c r="AJ32" s="23">
        <f>IF(AJ$4&gt;N('Болжамдар'!$D$13),INDEX($D31:$AM31,1,MAX(1,AJ$4-N('Болжамдар'!$D$13))),0)*N('Болжамдар'!$D$12)+IF(AJ$4=1,N('Болжамдар'!$D$8),0)</f>
      </c>
      <c r="AK32" s="23">
        <f>IF(AK$4&gt;N('Болжамдар'!$D$13),INDEX($D31:$AM31,1,MAX(1,AK$4-N('Болжамдар'!$D$13))),0)*N('Болжамдар'!$D$12)+IF(AK$4=1,N('Болжамдар'!$D$8),0)</f>
      </c>
      <c r="AL32" s="23">
        <f>IF(AL$4&gt;N('Болжамдар'!$D$13),INDEX($D31:$AM31,1,MAX(1,AL$4-N('Болжамдар'!$D$13))),0)*N('Болжамдар'!$D$12)+IF(AL$4=1,N('Болжамдар'!$D$8),0)</f>
      </c>
      <c r="AM32" s="23">
        <f>IF(AM$4&gt;N('Болжамдар'!$D$13),INDEX($D31:$AM31,1,MAX(1,AM$4-N('Болжамдар'!$D$13))),0)*N('Болжамдар'!$D$12)+IF(AM$4=1,N('Болжамдар'!$D$8),0)</f>
      </c>
    </row>
    <row r="33" spans="1:39" x14ac:dyDescent="0.25">
      <c r="A33" s="26" t="s">
        <v>69</v>
      </c>
      <c r="B33" t="s">
        <v>34</v>
      </c>
      <c r="C33" s="23">
        <f>SUM(D33:AM33)</f>
      </c>
      <c r="D33" s="23">
        <f>IF(D$4=1,0,0)</f>
      </c>
      <c r="E33" s="23">
        <f>D34*N('Болжамдар'!$D$14)</f>
      </c>
      <c r="F33" s="23">
        <f>E34*N('Болжамдар'!$D$14)</f>
      </c>
      <c r="G33" s="23">
        <f>F34*N('Болжамдар'!$D$14)</f>
      </c>
      <c r="H33" s="23">
        <f>G34*N('Болжамдар'!$D$14)</f>
      </c>
      <c r="I33" s="23">
        <f>H34*N('Болжамдар'!$D$14)</f>
      </c>
      <c r="J33" s="23">
        <f>I34*N('Болжамдар'!$D$14)</f>
      </c>
      <c r="K33" s="23">
        <f>J34*N('Болжамдар'!$D$14)</f>
      </c>
      <c r="L33" s="23">
        <f>K34*N('Болжамдар'!$D$14)</f>
      </c>
      <c r="M33" s="23">
        <f>L34*N('Болжамдар'!$D$14)</f>
      </c>
      <c r="N33" s="23">
        <f>M34*N('Болжамдар'!$D$14)</f>
      </c>
      <c r="O33" s="23">
        <f>N34*N('Болжамдар'!$D$14)</f>
      </c>
      <c r="P33" s="23">
        <f>O34*N('Болжамдар'!$D$14)</f>
      </c>
      <c r="Q33" s="23">
        <f>P34*N('Болжамдар'!$D$14)</f>
      </c>
      <c r="R33" s="23">
        <f>Q34*N('Болжамдар'!$D$14)</f>
      </c>
      <c r="S33" s="23">
        <f>R34*N('Болжамдар'!$D$14)</f>
      </c>
      <c r="T33" s="23">
        <f>S34*N('Болжамдар'!$D$14)</f>
      </c>
      <c r="U33" s="23">
        <f>T34*N('Болжамдар'!$D$14)</f>
      </c>
      <c r="V33" s="23">
        <f>U34*N('Болжамдар'!$D$14)</f>
      </c>
      <c r="W33" s="23">
        <f>V34*N('Болжамдар'!$D$14)</f>
      </c>
      <c r="X33" s="23">
        <f>W34*N('Болжамдар'!$D$14)</f>
      </c>
      <c r="Y33" s="23">
        <f>X34*N('Болжамдар'!$D$14)</f>
      </c>
      <c r="Z33" s="23">
        <f>Y34*N('Болжамдар'!$D$14)</f>
      </c>
      <c r="AA33" s="23">
        <f>Z34*N('Болжамдар'!$D$14)</f>
      </c>
      <c r="AB33" s="23">
        <f>AA34*N('Болжамдар'!$D$14)</f>
      </c>
      <c r="AC33" s="23">
        <f>AB34*N('Болжамдар'!$D$14)</f>
      </c>
      <c r="AD33" s="23">
        <f>AC34*N('Болжамдар'!$D$14)</f>
      </c>
      <c r="AE33" s="23">
        <f>AD34*N('Болжамдар'!$D$14)</f>
      </c>
      <c r="AF33" s="23">
        <f>AE34*N('Болжамдар'!$D$14)</f>
      </c>
      <c r="AG33" s="23">
        <f>AF34*N('Болжамдар'!$D$14)</f>
      </c>
      <c r="AH33" s="23">
        <f>AG34*N('Болжамдар'!$D$14)</f>
      </c>
      <c r="AI33" s="23">
        <f>AH34*N('Болжамдар'!$D$14)</f>
      </c>
      <c r="AJ33" s="23">
        <f>AI34*N('Болжамдар'!$D$14)</f>
      </c>
      <c r="AK33" s="23">
        <f>AJ34*N('Болжамдар'!$D$14)</f>
      </c>
      <c r="AL33" s="23">
        <f>AK34*N('Болжамдар'!$D$14)</f>
      </c>
      <c r="AM33" s="23">
        <f>AL34*N('Болжамдар'!$D$14)</f>
      </c>
    </row>
    <row r="34" spans="1:39" x14ac:dyDescent="0.25">
      <c r="A34" s="26" t="s">
        <v>70</v>
      </c>
      <c r="B34" t="s">
        <v>34</v>
      </c>
      <c r="C34" s="23">
        <f>AM34</f>
      </c>
      <c r="D34" s="23">
        <f>0+D32-D33</f>
      </c>
      <c r="E34" s="23">
        <f>D34+E32-E33</f>
      </c>
      <c r="F34" s="23">
        <f>E34+F32-F33</f>
      </c>
      <c r="G34" s="23">
        <f>F34+G32-G33</f>
      </c>
      <c r="H34" s="23">
        <f>G34+H32-H33</f>
      </c>
      <c r="I34" s="23">
        <f>H34+I32-I33</f>
      </c>
      <c r="J34" s="23">
        <f>I34+J32-J33</f>
      </c>
      <c r="K34" s="23">
        <f>J34+K32-K33</f>
      </c>
      <c r="L34" s="23">
        <f>K34+L32-L33</f>
      </c>
      <c r="M34" s="23">
        <f>L34+M32-M33</f>
      </c>
      <c r="N34" s="23">
        <f>M34+N32-N33</f>
      </c>
      <c r="O34" s="23">
        <f>N34+O32-O33</f>
      </c>
      <c r="P34" s="23">
        <f>O34+P32-P33</f>
      </c>
      <c r="Q34" s="23">
        <f>P34+Q32-Q33</f>
      </c>
      <c r="R34" s="23">
        <f>Q34+R32-R33</f>
      </c>
      <c r="S34" s="23">
        <f>R34+S32-S33</f>
      </c>
      <c r="T34" s="23">
        <f>S34+T32-T33</f>
      </c>
      <c r="U34" s="23">
        <f>T34+U32-U33</f>
      </c>
      <c r="V34" s="23">
        <f>U34+V32-V33</f>
      </c>
      <c r="W34" s="23">
        <f>V34+W32-W33</f>
      </c>
      <c r="X34" s="23">
        <f>W34+X32-X33</f>
      </c>
      <c r="Y34" s="23">
        <f>X34+Y32-Y33</f>
      </c>
      <c r="Z34" s="23">
        <f>Y34+Z32-Z33</f>
      </c>
      <c r="AA34" s="23">
        <f>Z34+AA32-AA33</f>
      </c>
      <c r="AB34" s="23">
        <f>AA34+AB32-AB33</f>
      </c>
      <c r="AC34" s="23">
        <f>AB34+AC32-AC33</f>
      </c>
      <c r="AD34" s="23">
        <f>AC34+AD32-AD33</f>
      </c>
      <c r="AE34" s="23">
        <f>AD34+AE32-AE33</f>
      </c>
      <c r="AF34" s="23">
        <f>AE34+AF32-AF33</f>
      </c>
      <c r="AG34" s="23">
        <f>AF34+AG32-AG33</f>
      </c>
      <c r="AH34" s="23">
        <f>AG34+AH32-AH33</f>
      </c>
      <c r="AI34" s="23">
        <f>AH34+AI32-AI33</f>
      </c>
      <c r="AJ34" s="23">
        <f>AI34+AJ32-AJ33</f>
      </c>
      <c r="AK34" s="23">
        <f>AJ34+AK32-AK33</f>
      </c>
      <c r="AL34" s="23">
        <f>AK34+AL32-AL33</f>
      </c>
      <c r="AM34" s="23">
        <f>AL34+AM32-AM33</f>
      </c>
    </row>
    <row r="35" spans="1:39" x14ac:dyDescent="0.25">
      <c r="A35" s="26" t="s">
        <v>71</v>
      </c>
      <c r="B35" t="s">
        <v>32</v>
      </c>
      <c r="C35" s="16">
        <f>AM35</f>
      </c>
      <c r="D35" s="16">
        <f>D34*N('Болжамдар'!$D$7)</f>
      </c>
      <c r="E35" s="16">
        <f>E34*N('Болжамдар'!$D$7)</f>
      </c>
      <c r="F35" s="16">
        <f>F34*N('Болжамдар'!$D$7)</f>
      </c>
      <c r="G35" s="16">
        <f>G34*N('Болжамдар'!$D$7)</f>
      </c>
      <c r="H35" s="16">
        <f>H34*N('Болжамдар'!$D$7)</f>
      </c>
      <c r="I35" s="16">
        <f>I34*N('Болжамдар'!$D$7)</f>
      </c>
      <c r="J35" s="16">
        <f>J34*N('Болжамдар'!$D$7)</f>
      </c>
      <c r="K35" s="16">
        <f>K34*N('Болжамдар'!$D$7)</f>
      </c>
      <c r="L35" s="16">
        <f>L34*N('Болжамдар'!$D$7)</f>
      </c>
      <c r="M35" s="16">
        <f>M34*N('Болжамдар'!$D$7)</f>
      </c>
      <c r="N35" s="16">
        <f>N34*N('Болжамдар'!$D$7)</f>
      </c>
      <c r="O35" s="16">
        <f>O34*N('Болжамдар'!$D$7)</f>
      </c>
      <c r="P35" s="16">
        <f>P34*N('Болжамдар'!$D$7)</f>
      </c>
      <c r="Q35" s="16">
        <f>Q34*N('Болжамдар'!$D$7)</f>
      </c>
      <c r="R35" s="16">
        <f>R34*N('Болжамдар'!$D$7)</f>
      </c>
      <c r="S35" s="16">
        <f>S34*N('Болжамдар'!$D$7)</f>
      </c>
      <c r="T35" s="16">
        <f>T34*N('Болжамдар'!$D$7)</f>
      </c>
      <c r="U35" s="16">
        <f>U34*N('Болжамдар'!$D$7)</f>
      </c>
      <c r="V35" s="16">
        <f>V34*N('Болжамдар'!$D$7)</f>
      </c>
      <c r="W35" s="16">
        <f>W34*N('Болжамдар'!$D$7)</f>
      </c>
      <c r="X35" s="16">
        <f>X34*N('Болжамдар'!$D$7)</f>
      </c>
      <c r="Y35" s="16">
        <f>Y34*N('Болжамдар'!$D$7)</f>
      </c>
      <c r="Z35" s="16">
        <f>Z34*N('Болжамдар'!$D$7)</f>
      </c>
      <c r="AA35" s="16">
        <f>AA34*N('Болжамдар'!$D$7)</f>
      </c>
      <c r="AB35" s="16">
        <f>AB34*N('Болжамдар'!$D$7)</f>
      </c>
      <c r="AC35" s="16">
        <f>AC34*N('Болжамдар'!$D$7)</f>
      </c>
      <c r="AD35" s="16">
        <f>AD34*N('Болжамдар'!$D$7)</f>
      </c>
      <c r="AE35" s="16">
        <f>AE34*N('Болжамдар'!$D$7)</f>
      </c>
      <c r="AF35" s="16">
        <f>AF34*N('Болжамдар'!$D$7)</f>
      </c>
      <c r="AG35" s="16">
        <f>AG34*N('Болжамдар'!$D$7)</f>
      </c>
      <c r="AH35" s="16">
        <f>AH34*N('Болжамдар'!$D$7)</f>
      </c>
      <c r="AI35" s="16">
        <f>AI34*N('Болжамдар'!$D$7)</f>
      </c>
      <c r="AJ35" s="16">
        <f>AJ34*N('Болжамдар'!$D$7)</f>
      </c>
      <c r="AK35" s="16">
        <f>AK34*N('Болжамдар'!$D$7)</f>
      </c>
      <c r="AL35" s="16">
        <f>AL34*N('Болжамдар'!$D$7)</f>
      </c>
      <c r="AM35" s="16">
        <f>AM34*N('Болжамдар'!$D$7)</f>
      </c>
    </row>
    <row r="36" spans="1:39" x14ac:dyDescent="0.25">
      <c r="A36" s="26" t="s">
        <v>72</v>
      </c>
      <c r="B36" t="s">
        <v>73</v>
      </c>
      <c r="C36" s="16">
        <f>AM36</f>
      </c>
      <c r="D36" s="16">
        <f>D35*N('Болжамдар'!$D$6)/12</f>
      </c>
      <c r="E36" s="16">
        <f>E35*N('Болжамдар'!$D$6)/12</f>
      </c>
      <c r="F36" s="16">
        <f>F35*N('Болжамдар'!$D$6)/12</f>
      </c>
      <c r="G36" s="16">
        <f>G35*N('Болжамдар'!$D$6)/12</f>
      </c>
      <c r="H36" s="16">
        <f>H35*N('Болжамдар'!$D$6)/12</f>
      </c>
      <c r="I36" s="16">
        <f>I35*N('Болжамдар'!$D$6)/12</f>
      </c>
      <c r="J36" s="16">
        <f>J35*N('Болжамдар'!$D$6)/12</f>
      </c>
      <c r="K36" s="16">
        <f>K35*N('Болжамдар'!$D$6)/12</f>
      </c>
      <c r="L36" s="16">
        <f>L35*N('Болжамдар'!$D$6)/12</f>
      </c>
      <c r="M36" s="16">
        <f>M35*N('Болжамдар'!$D$6)/12</f>
      </c>
      <c r="N36" s="16">
        <f>N35*N('Болжамдар'!$D$6)/12</f>
      </c>
      <c r="O36" s="16">
        <f>O35*N('Болжамдар'!$D$6)/12</f>
      </c>
      <c r="P36" s="16">
        <f>P35*N('Болжамдар'!$D$6)/12</f>
      </c>
      <c r="Q36" s="16">
        <f>Q35*N('Болжамдар'!$D$6)/12</f>
      </c>
      <c r="R36" s="16">
        <f>R35*N('Болжамдар'!$D$6)/12</f>
      </c>
      <c r="S36" s="16">
        <f>S35*N('Болжамдар'!$D$6)/12</f>
      </c>
      <c r="T36" s="16">
        <f>T35*N('Болжамдар'!$D$6)/12</f>
      </c>
      <c r="U36" s="16">
        <f>U35*N('Болжамдар'!$D$6)/12</f>
      </c>
      <c r="V36" s="16">
        <f>V35*N('Болжамдар'!$D$6)/12</f>
      </c>
      <c r="W36" s="16">
        <f>W35*N('Болжамдар'!$D$6)/12</f>
      </c>
      <c r="X36" s="16">
        <f>X35*N('Болжамдар'!$D$6)/12</f>
      </c>
      <c r="Y36" s="16">
        <f>Y35*N('Болжамдар'!$D$6)/12</f>
      </c>
      <c r="Z36" s="16">
        <f>Z35*N('Болжамдар'!$D$6)/12</f>
      </c>
      <c r="AA36" s="16">
        <f>AA35*N('Болжамдар'!$D$6)/12</f>
      </c>
      <c r="AB36" s="16">
        <f>AB35*N('Болжамдар'!$D$6)/12</f>
      </c>
      <c r="AC36" s="16">
        <f>AC35*N('Болжамдар'!$D$6)/12</f>
      </c>
      <c r="AD36" s="16">
        <f>AD35*N('Болжамдар'!$D$6)/12</f>
      </c>
      <c r="AE36" s="16">
        <f>AE35*N('Болжамдар'!$D$6)/12</f>
      </c>
      <c r="AF36" s="16">
        <f>AF35*N('Болжамдар'!$D$6)/12</f>
      </c>
      <c r="AG36" s="16">
        <f>AG35*N('Болжамдар'!$D$6)/12</f>
      </c>
      <c r="AH36" s="16">
        <f>AH35*N('Болжамдар'!$D$6)/12</f>
      </c>
      <c r="AI36" s="16">
        <f>AI35*N('Болжамдар'!$D$6)/12</f>
      </c>
      <c r="AJ36" s="16">
        <f>AJ35*N('Болжамдар'!$D$6)/12</f>
      </c>
      <c r="AK36" s="16">
        <f>AK35*N('Болжамдар'!$D$6)/12</f>
      </c>
      <c r="AL36" s="16">
        <f>AL35*N('Болжамдар'!$D$6)/12</f>
      </c>
      <c r="AM36" s="16">
        <f>AM35*N('Болжамдар'!$D$6)/12</f>
      </c>
    </row>
    <row r="37" spans="1:39" x14ac:dyDescent="0.25">
      <c r="A37" s="26" t="s">
        <v>74</v>
      </c>
      <c r="B37" t="s">
        <v>75</v>
      </c>
      <c r="C37" s="16">
        <f>AM37</f>
      </c>
      <c r="D37" s="16">
        <f>D36*12</f>
      </c>
      <c r="E37" s="16">
        <f>E36*12</f>
      </c>
      <c r="F37" s="16">
        <f>F36*12</f>
      </c>
      <c r="G37" s="16">
        <f>G36*12</f>
      </c>
      <c r="H37" s="16">
        <f>H36*12</f>
      </c>
      <c r="I37" s="16">
        <f>I36*12</f>
      </c>
      <c r="J37" s="16">
        <f>J36*12</f>
      </c>
      <c r="K37" s="16">
        <f>K36*12</f>
      </c>
      <c r="L37" s="16">
        <f>L36*12</f>
      </c>
      <c r="M37" s="16">
        <f>M36*12</f>
      </c>
      <c r="N37" s="16">
        <f>N36*12</f>
      </c>
      <c r="O37" s="16">
        <f>O36*12</f>
      </c>
      <c r="P37" s="16">
        <f>P36*12</f>
      </c>
      <c r="Q37" s="16">
        <f>Q36*12</f>
      </c>
      <c r="R37" s="16">
        <f>R36*12</f>
      </c>
      <c r="S37" s="16">
        <f>S36*12</f>
      </c>
      <c r="T37" s="16">
        <f>T36*12</f>
      </c>
      <c r="U37" s="16">
        <f>U36*12</f>
      </c>
      <c r="V37" s="16">
        <f>V36*12</f>
      </c>
      <c r="W37" s="16">
        <f>W36*12</f>
      </c>
      <c r="X37" s="16">
        <f>X36*12</f>
      </c>
      <c r="Y37" s="16">
        <f>Y36*12</f>
      </c>
      <c r="Z37" s="16">
        <f>Z36*12</f>
      </c>
      <c r="AA37" s="16">
        <f>AA36*12</f>
      </c>
      <c r="AB37" s="16">
        <f>AB36*12</f>
      </c>
      <c r="AC37" s="16">
        <f>AC36*12</f>
      </c>
      <c r="AD37" s="16">
        <f>AD36*12</f>
      </c>
      <c r="AE37" s="16">
        <f>AE36*12</f>
      </c>
      <c r="AF37" s="16">
        <f>AF36*12</f>
      </c>
      <c r="AG37" s="16">
        <f>AG36*12</f>
      </c>
      <c r="AH37" s="16">
        <f>AH36*12</f>
      </c>
      <c r="AI37" s="16">
        <f>AI36*12</f>
      </c>
      <c r="AJ37" s="16">
        <f>AJ36*12</f>
      </c>
      <c r="AK37" s="16">
        <f>AK36*12</f>
      </c>
      <c r="AL37" s="16">
        <f>AL36*12</f>
      </c>
      <c r="AM37" s="16">
        <f>AM36*12</f>
      </c>
    </row>
    <row r="38" spans="1:39" x14ac:dyDescent="0.25">
      <c r="A38" s="26" t="s">
        <v>76</v>
      </c>
      <c r="B38" t="s">
        <v>29</v>
      </c>
      <c r="C38" s="16">
        <f>SUM(D38:AM38)</f>
      </c>
      <c r="D38" s="16">
        <f>D36</f>
      </c>
      <c r="E38" s="16">
        <f>E36</f>
      </c>
      <c r="F38" s="16">
        <f>F36</f>
      </c>
      <c r="G38" s="16">
        <f>G36</f>
      </c>
      <c r="H38" s="16">
        <f>H36</f>
      </c>
      <c r="I38" s="16">
        <f>I36</f>
      </c>
      <c r="J38" s="16">
        <f>J36</f>
      </c>
      <c r="K38" s="16">
        <f>K36</f>
      </c>
      <c r="L38" s="16">
        <f>L36</f>
      </c>
      <c r="M38" s="16">
        <f>M36</f>
      </c>
      <c r="N38" s="16">
        <f>N36</f>
      </c>
      <c r="O38" s="16">
        <f>O36</f>
      </c>
      <c r="P38" s="16">
        <f>P36</f>
      </c>
      <c r="Q38" s="16">
        <f>Q36</f>
      </c>
      <c r="R38" s="16">
        <f>R36</f>
      </c>
      <c r="S38" s="16">
        <f>S36</f>
      </c>
      <c r="T38" s="16">
        <f>T36</f>
      </c>
      <c r="U38" s="16">
        <f>U36</f>
      </c>
      <c r="V38" s="16">
        <f>V36</f>
      </c>
      <c r="W38" s="16">
        <f>W36</f>
      </c>
      <c r="X38" s="16">
        <f>X36</f>
      </c>
      <c r="Y38" s="16">
        <f>Y36</f>
      </c>
      <c r="Z38" s="16">
        <f>Z36</f>
      </c>
      <c r="AA38" s="16">
        <f>AA36</f>
      </c>
      <c r="AB38" s="16">
        <f>AB36</f>
      </c>
      <c r="AC38" s="16">
        <f>AC36</f>
      </c>
      <c r="AD38" s="16">
        <f>AD36</f>
      </c>
      <c r="AE38" s="16">
        <f>AE36</f>
      </c>
      <c r="AF38" s="16">
        <f>AF36</f>
      </c>
      <c r="AG38" s="16">
        <f>AG36</f>
      </c>
      <c r="AH38" s="16">
        <f>AH36</f>
      </c>
      <c r="AI38" s="16">
        <f>AI36</f>
      </c>
      <c r="AJ38" s="16">
        <f>AJ36</f>
      </c>
      <c r="AK38" s="16">
        <f>AK36</f>
      </c>
      <c r="AL38" s="16">
        <f>AL36</f>
      </c>
      <c r="AM38" s="16">
        <f>AM36</f>
      </c>
    </row>
    <row r="41" spans="1:1" x14ac:dyDescent="0.25">
      <c r="A41" s="25" t="s">
        <v>79</v>
      </c>
    </row>
    <row r="42" spans="1:39" x14ac:dyDescent="0.25">
      <c r="A42" s="26" t="s">
        <v>66</v>
      </c>
      <c r="B42" t="s">
        <v>34</v>
      </c>
      <c r="C42" s="23">
        <f>SUM(D42:AM42)</f>
      </c>
      <c r="D42" s="23">
        <f>N('Болжамдар'!$E$10)</f>
      </c>
      <c r="E42" s="23">
        <f>N('Болжамдар'!$E$10)</f>
      </c>
      <c r="F42" s="23">
        <f>N('Болжамдар'!$E$10)</f>
      </c>
      <c r="G42" s="23">
        <f>N('Болжамдар'!$E$10)</f>
      </c>
      <c r="H42" s="23">
        <f>N('Болжамдар'!$E$10)</f>
      </c>
      <c r="I42" s="23">
        <f>N('Болжамдар'!$E$10)</f>
      </c>
      <c r="J42" s="23">
        <f>N('Болжамдар'!$E$10)</f>
      </c>
      <c r="K42" s="23">
        <f>N('Болжамдар'!$E$10)</f>
      </c>
      <c r="L42" s="23">
        <f>N('Болжамдар'!$E$10)</f>
      </c>
      <c r="M42" s="23">
        <f>N('Болжамдар'!$E$10)</f>
      </c>
      <c r="N42" s="23">
        <f>N('Болжамдар'!$E$10)</f>
      </c>
      <c r="O42" s="23">
        <f>N('Болжамдар'!$E$10)</f>
      </c>
      <c r="P42" s="23">
        <f>N('Болжамдар'!$E$10)</f>
      </c>
      <c r="Q42" s="23">
        <f>N('Болжамдар'!$E$10)</f>
      </c>
      <c r="R42" s="23">
        <f>N('Болжамдар'!$E$10)</f>
      </c>
      <c r="S42" s="23">
        <f>N('Болжамдар'!$E$10)</f>
      </c>
      <c r="T42" s="23">
        <f>N('Болжамдар'!$E$10)</f>
      </c>
      <c r="U42" s="23">
        <f>N('Болжамдар'!$E$10)</f>
      </c>
      <c r="V42" s="23">
        <f>N('Болжамдар'!$E$10)</f>
      </c>
      <c r="W42" s="23">
        <f>N('Болжамдар'!$E$10)</f>
      </c>
      <c r="X42" s="23">
        <f>N('Болжамдар'!$E$10)</f>
      </c>
      <c r="Y42" s="23">
        <f>N('Болжамдар'!$E$10)</f>
      </c>
      <c r="Z42" s="23">
        <f>N('Болжамдар'!$E$10)</f>
      </c>
      <c r="AA42" s="23">
        <f>N('Болжамдар'!$E$10)</f>
      </c>
      <c r="AB42" s="23">
        <f>N('Болжамдар'!$E$10)</f>
      </c>
      <c r="AC42" s="23">
        <f>N('Болжамдар'!$E$10)</f>
      </c>
      <c r="AD42" s="23">
        <f>N('Болжамдар'!$E$10)</f>
      </c>
      <c r="AE42" s="23">
        <f>N('Болжамдар'!$E$10)</f>
      </c>
      <c r="AF42" s="23">
        <f>N('Болжамдар'!$E$10)</f>
      </c>
      <c r="AG42" s="23">
        <f>N('Болжамдар'!$E$10)</f>
      </c>
      <c r="AH42" s="23">
        <f>N('Болжамдар'!$E$10)</f>
      </c>
      <c r="AI42" s="23">
        <f>N('Болжамдар'!$E$10)</f>
      </c>
      <c r="AJ42" s="23">
        <f>N('Болжамдар'!$E$10)</f>
      </c>
      <c r="AK42" s="23">
        <f>N('Болжамдар'!$E$10)</f>
      </c>
      <c r="AL42" s="23">
        <f>N('Болжамдар'!$E$10)</f>
      </c>
      <c r="AM42" s="23">
        <f>N('Болжамдар'!$E$10)</f>
      </c>
    </row>
    <row r="43" spans="1:39" x14ac:dyDescent="0.25">
      <c r="A43" s="26" t="s">
        <v>67</v>
      </c>
      <c r="B43" t="s">
        <v>34</v>
      </c>
      <c r="C43" s="23">
        <f>SUM(D43:AM43)</f>
      </c>
      <c r="D43" s="23">
        <f>D42*N('Болжамдар'!$E$11)</f>
      </c>
      <c r="E43" s="23">
        <f>E42*N('Болжамдар'!$E$11)</f>
      </c>
      <c r="F43" s="23">
        <f>F42*N('Болжамдар'!$E$11)</f>
      </c>
      <c r="G43" s="23">
        <f>G42*N('Болжамдар'!$E$11)</f>
      </c>
      <c r="H43" s="23">
        <f>H42*N('Болжамдар'!$E$11)</f>
      </c>
      <c r="I43" s="23">
        <f>I42*N('Болжамдар'!$E$11)</f>
      </c>
      <c r="J43" s="23">
        <f>J42*N('Болжамдар'!$E$11)</f>
      </c>
      <c r="K43" s="23">
        <f>K42*N('Болжамдар'!$E$11)</f>
      </c>
      <c r="L43" s="23">
        <f>L42*N('Болжамдар'!$E$11)</f>
      </c>
      <c r="M43" s="23">
        <f>M42*N('Болжамдар'!$E$11)</f>
      </c>
      <c r="N43" s="23">
        <f>N42*N('Болжамдар'!$E$11)</f>
      </c>
      <c r="O43" s="23">
        <f>O42*N('Болжамдар'!$E$11)</f>
      </c>
      <c r="P43" s="23">
        <f>P42*N('Болжамдар'!$E$11)</f>
      </c>
      <c r="Q43" s="23">
        <f>Q42*N('Болжамдар'!$E$11)</f>
      </c>
      <c r="R43" s="23">
        <f>R42*N('Болжамдар'!$E$11)</f>
      </c>
      <c r="S43" s="23">
        <f>S42*N('Болжамдар'!$E$11)</f>
      </c>
      <c r="T43" s="23">
        <f>T42*N('Болжамдар'!$E$11)</f>
      </c>
      <c r="U43" s="23">
        <f>U42*N('Болжамдар'!$E$11)</f>
      </c>
      <c r="V43" s="23">
        <f>V42*N('Болжамдар'!$E$11)</f>
      </c>
      <c r="W43" s="23">
        <f>W42*N('Болжамдар'!$E$11)</f>
      </c>
      <c r="X43" s="23">
        <f>X42*N('Болжамдар'!$E$11)</f>
      </c>
      <c r="Y43" s="23">
        <f>Y42*N('Болжамдар'!$E$11)</f>
      </c>
      <c r="Z43" s="23">
        <f>Z42*N('Болжамдар'!$E$11)</f>
      </c>
      <c r="AA43" s="23">
        <f>AA42*N('Болжамдар'!$E$11)</f>
      </c>
      <c r="AB43" s="23">
        <f>AB42*N('Болжамдар'!$E$11)</f>
      </c>
      <c r="AC43" s="23">
        <f>AC42*N('Болжамдар'!$E$11)</f>
      </c>
      <c r="AD43" s="23">
        <f>AD42*N('Болжамдар'!$E$11)</f>
      </c>
      <c r="AE43" s="23">
        <f>AE42*N('Болжамдар'!$E$11)</f>
      </c>
      <c r="AF43" s="23">
        <f>AF42*N('Болжамдар'!$E$11)</f>
      </c>
      <c r="AG43" s="23">
        <f>AG42*N('Болжамдар'!$E$11)</f>
      </c>
      <c r="AH43" s="23">
        <f>AH42*N('Болжамдар'!$E$11)</f>
      </c>
      <c r="AI43" s="23">
        <f>AI42*N('Болжамдар'!$E$11)</f>
      </c>
      <c r="AJ43" s="23">
        <f>AJ42*N('Болжамдар'!$E$11)</f>
      </c>
      <c r="AK43" s="23">
        <f>AK42*N('Болжамдар'!$E$11)</f>
      </c>
      <c r="AL43" s="23">
        <f>AL42*N('Болжамдар'!$E$11)</f>
      </c>
      <c r="AM43" s="23">
        <f>AM42*N('Болжамдар'!$E$11)</f>
      </c>
    </row>
    <row r="44" spans="1:39" x14ac:dyDescent="0.25">
      <c r="A44" s="26" t="s">
        <v>68</v>
      </c>
      <c r="B44" t="s">
        <v>34</v>
      </c>
      <c r="C44" s="23">
        <f>SUM(D44:AM44)</f>
      </c>
      <c r="D44" s="23">
        <f>IF(D$4&gt;N('Болжамдар'!$E$13),INDEX($D43:$AM43,1,MAX(1,D$4-N('Болжамдар'!$E$13))),0)*N('Болжамдар'!$E$12)+IF(D$4=1,N('Болжамдар'!$E$8),0)</f>
      </c>
      <c r="E44" s="23">
        <f>IF(E$4&gt;N('Болжамдар'!$E$13),INDEX($D43:$AM43,1,MAX(1,E$4-N('Болжамдар'!$E$13))),0)*N('Болжамдар'!$E$12)+IF(E$4=1,N('Болжамдар'!$E$8),0)</f>
      </c>
      <c r="F44" s="23">
        <f>IF(F$4&gt;N('Болжамдар'!$E$13),INDEX($D43:$AM43,1,MAX(1,F$4-N('Болжамдар'!$E$13))),0)*N('Болжамдар'!$E$12)+IF(F$4=1,N('Болжамдар'!$E$8),0)</f>
      </c>
      <c r="G44" s="23">
        <f>IF(G$4&gt;N('Болжамдар'!$E$13),INDEX($D43:$AM43,1,MAX(1,G$4-N('Болжамдар'!$E$13))),0)*N('Болжамдар'!$E$12)+IF(G$4=1,N('Болжамдар'!$E$8),0)</f>
      </c>
      <c r="H44" s="23">
        <f>IF(H$4&gt;N('Болжамдар'!$E$13),INDEX($D43:$AM43,1,MAX(1,H$4-N('Болжамдар'!$E$13))),0)*N('Болжамдар'!$E$12)+IF(H$4=1,N('Болжамдар'!$E$8),0)</f>
      </c>
      <c r="I44" s="23">
        <f>IF(I$4&gt;N('Болжамдар'!$E$13),INDEX($D43:$AM43,1,MAX(1,I$4-N('Болжамдар'!$E$13))),0)*N('Болжамдар'!$E$12)+IF(I$4=1,N('Болжамдар'!$E$8),0)</f>
      </c>
      <c r="J44" s="23">
        <f>IF(J$4&gt;N('Болжамдар'!$E$13),INDEX($D43:$AM43,1,MAX(1,J$4-N('Болжамдар'!$E$13))),0)*N('Болжамдар'!$E$12)+IF(J$4=1,N('Болжамдар'!$E$8),0)</f>
      </c>
      <c r="K44" s="23">
        <f>IF(K$4&gt;N('Болжамдар'!$E$13),INDEX($D43:$AM43,1,MAX(1,K$4-N('Болжамдар'!$E$13))),0)*N('Болжамдар'!$E$12)+IF(K$4=1,N('Болжамдар'!$E$8),0)</f>
      </c>
      <c r="L44" s="23">
        <f>IF(L$4&gt;N('Болжамдар'!$E$13),INDEX($D43:$AM43,1,MAX(1,L$4-N('Болжамдар'!$E$13))),0)*N('Болжамдар'!$E$12)+IF(L$4=1,N('Болжамдар'!$E$8),0)</f>
      </c>
      <c r="M44" s="23">
        <f>IF(M$4&gt;N('Болжамдар'!$E$13),INDEX($D43:$AM43,1,MAX(1,M$4-N('Болжамдар'!$E$13))),0)*N('Болжамдар'!$E$12)+IF(M$4=1,N('Болжамдар'!$E$8),0)</f>
      </c>
      <c r="N44" s="23">
        <f>IF(N$4&gt;N('Болжамдар'!$E$13),INDEX($D43:$AM43,1,MAX(1,N$4-N('Болжамдар'!$E$13))),0)*N('Болжамдар'!$E$12)+IF(N$4=1,N('Болжамдар'!$E$8),0)</f>
      </c>
      <c r="O44" s="23">
        <f>IF(O$4&gt;N('Болжамдар'!$E$13),INDEX($D43:$AM43,1,MAX(1,O$4-N('Болжамдар'!$E$13))),0)*N('Болжамдар'!$E$12)+IF(O$4=1,N('Болжамдар'!$E$8),0)</f>
      </c>
      <c r="P44" s="23">
        <f>IF(P$4&gt;N('Болжамдар'!$E$13),INDEX($D43:$AM43,1,MAX(1,P$4-N('Болжамдар'!$E$13))),0)*N('Болжамдар'!$E$12)+IF(P$4=1,N('Болжамдар'!$E$8),0)</f>
      </c>
      <c r="Q44" s="23">
        <f>IF(Q$4&gt;N('Болжамдар'!$E$13),INDEX($D43:$AM43,1,MAX(1,Q$4-N('Болжамдар'!$E$13))),0)*N('Болжамдар'!$E$12)+IF(Q$4=1,N('Болжамдар'!$E$8),0)</f>
      </c>
      <c r="R44" s="23">
        <f>IF(R$4&gt;N('Болжамдар'!$E$13),INDEX($D43:$AM43,1,MAX(1,R$4-N('Болжамдар'!$E$13))),0)*N('Болжамдар'!$E$12)+IF(R$4=1,N('Болжамдар'!$E$8),0)</f>
      </c>
      <c r="S44" s="23">
        <f>IF(S$4&gt;N('Болжамдар'!$E$13),INDEX($D43:$AM43,1,MAX(1,S$4-N('Болжамдар'!$E$13))),0)*N('Болжамдар'!$E$12)+IF(S$4=1,N('Болжамдар'!$E$8),0)</f>
      </c>
      <c r="T44" s="23">
        <f>IF(T$4&gt;N('Болжамдар'!$E$13),INDEX($D43:$AM43,1,MAX(1,T$4-N('Болжамдар'!$E$13))),0)*N('Болжамдар'!$E$12)+IF(T$4=1,N('Болжамдар'!$E$8),0)</f>
      </c>
      <c r="U44" s="23">
        <f>IF(U$4&gt;N('Болжамдар'!$E$13),INDEX($D43:$AM43,1,MAX(1,U$4-N('Болжамдар'!$E$13))),0)*N('Болжамдар'!$E$12)+IF(U$4=1,N('Болжамдар'!$E$8),0)</f>
      </c>
      <c r="V44" s="23">
        <f>IF(V$4&gt;N('Болжамдар'!$E$13),INDEX($D43:$AM43,1,MAX(1,V$4-N('Болжамдар'!$E$13))),0)*N('Болжамдар'!$E$12)+IF(V$4=1,N('Болжамдар'!$E$8),0)</f>
      </c>
      <c r="W44" s="23">
        <f>IF(W$4&gt;N('Болжамдар'!$E$13),INDEX($D43:$AM43,1,MAX(1,W$4-N('Болжамдар'!$E$13))),0)*N('Болжамдар'!$E$12)+IF(W$4=1,N('Болжамдар'!$E$8),0)</f>
      </c>
      <c r="X44" s="23">
        <f>IF(X$4&gt;N('Болжамдар'!$E$13),INDEX($D43:$AM43,1,MAX(1,X$4-N('Болжамдар'!$E$13))),0)*N('Болжамдар'!$E$12)+IF(X$4=1,N('Болжамдар'!$E$8),0)</f>
      </c>
      <c r="Y44" s="23">
        <f>IF(Y$4&gt;N('Болжамдар'!$E$13),INDEX($D43:$AM43,1,MAX(1,Y$4-N('Болжамдар'!$E$13))),0)*N('Болжамдар'!$E$12)+IF(Y$4=1,N('Болжамдар'!$E$8),0)</f>
      </c>
      <c r="Z44" s="23">
        <f>IF(Z$4&gt;N('Болжамдар'!$E$13),INDEX($D43:$AM43,1,MAX(1,Z$4-N('Болжамдар'!$E$13))),0)*N('Болжамдар'!$E$12)+IF(Z$4=1,N('Болжамдар'!$E$8),0)</f>
      </c>
      <c r="AA44" s="23">
        <f>IF(AA$4&gt;N('Болжамдар'!$E$13),INDEX($D43:$AM43,1,MAX(1,AA$4-N('Болжамдар'!$E$13))),0)*N('Болжамдар'!$E$12)+IF(AA$4=1,N('Болжамдар'!$E$8),0)</f>
      </c>
      <c r="AB44" s="23">
        <f>IF(AB$4&gt;N('Болжамдар'!$E$13),INDEX($D43:$AM43,1,MAX(1,AB$4-N('Болжамдар'!$E$13))),0)*N('Болжамдар'!$E$12)+IF(AB$4=1,N('Болжамдар'!$E$8),0)</f>
      </c>
      <c r="AC44" s="23">
        <f>IF(AC$4&gt;N('Болжамдар'!$E$13),INDEX($D43:$AM43,1,MAX(1,AC$4-N('Болжамдар'!$E$13))),0)*N('Болжамдар'!$E$12)+IF(AC$4=1,N('Болжамдар'!$E$8),0)</f>
      </c>
      <c r="AD44" s="23">
        <f>IF(AD$4&gt;N('Болжамдар'!$E$13),INDEX($D43:$AM43,1,MAX(1,AD$4-N('Болжамдар'!$E$13))),0)*N('Болжамдар'!$E$12)+IF(AD$4=1,N('Болжамдар'!$E$8),0)</f>
      </c>
      <c r="AE44" s="23">
        <f>IF(AE$4&gt;N('Болжамдар'!$E$13),INDEX($D43:$AM43,1,MAX(1,AE$4-N('Болжамдар'!$E$13))),0)*N('Болжамдар'!$E$12)+IF(AE$4=1,N('Болжамдар'!$E$8),0)</f>
      </c>
      <c r="AF44" s="23">
        <f>IF(AF$4&gt;N('Болжамдар'!$E$13),INDEX($D43:$AM43,1,MAX(1,AF$4-N('Болжамдар'!$E$13))),0)*N('Болжамдар'!$E$12)+IF(AF$4=1,N('Болжамдар'!$E$8),0)</f>
      </c>
      <c r="AG44" s="23">
        <f>IF(AG$4&gt;N('Болжамдар'!$E$13),INDEX($D43:$AM43,1,MAX(1,AG$4-N('Болжамдар'!$E$13))),0)*N('Болжамдар'!$E$12)+IF(AG$4=1,N('Болжамдар'!$E$8),0)</f>
      </c>
      <c r="AH44" s="23">
        <f>IF(AH$4&gt;N('Болжамдар'!$E$13),INDEX($D43:$AM43,1,MAX(1,AH$4-N('Болжамдар'!$E$13))),0)*N('Болжамдар'!$E$12)+IF(AH$4=1,N('Болжамдар'!$E$8),0)</f>
      </c>
      <c r="AI44" s="23">
        <f>IF(AI$4&gt;N('Болжамдар'!$E$13),INDEX($D43:$AM43,1,MAX(1,AI$4-N('Болжамдар'!$E$13))),0)*N('Болжамдар'!$E$12)+IF(AI$4=1,N('Болжамдар'!$E$8),0)</f>
      </c>
      <c r="AJ44" s="23">
        <f>IF(AJ$4&gt;N('Болжамдар'!$E$13),INDEX($D43:$AM43,1,MAX(1,AJ$4-N('Болжамдар'!$E$13))),0)*N('Болжамдар'!$E$12)+IF(AJ$4=1,N('Болжамдар'!$E$8),0)</f>
      </c>
      <c r="AK44" s="23">
        <f>IF(AK$4&gt;N('Болжамдар'!$E$13),INDEX($D43:$AM43,1,MAX(1,AK$4-N('Болжамдар'!$E$13))),0)*N('Болжамдар'!$E$12)+IF(AK$4=1,N('Болжамдар'!$E$8),0)</f>
      </c>
      <c r="AL44" s="23">
        <f>IF(AL$4&gt;N('Болжамдар'!$E$13),INDEX($D43:$AM43,1,MAX(1,AL$4-N('Болжамдар'!$E$13))),0)*N('Болжамдар'!$E$12)+IF(AL$4=1,N('Болжамдар'!$E$8),0)</f>
      </c>
      <c r="AM44" s="23">
        <f>IF(AM$4&gt;N('Болжамдар'!$E$13),INDEX($D43:$AM43,1,MAX(1,AM$4-N('Болжамдар'!$E$13))),0)*N('Болжамдар'!$E$12)+IF(AM$4=1,N('Болжамдар'!$E$8),0)</f>
      </c>
    </row>
    <row r="45" spans="1:39" x14ac:dyDescent="0.25">
      <c r="A45" s="26" t="s">
        <v>69</v>
      </c>
      <c r="B45" t="s">
        <v>34</v>
      </c>
      <c r="C45" s="23">
        <f>SUM(D45:AM45)</f>
      </c>
      <c r="D45" s="23">
        <f>IF(D$4=1,0,0)</f>
      </c>
      <c r="E45" s="23">
        <f>D46*N('Болжамдар'!$E$14)</f>
      </c>
      <c r="F45" s="23">
        <f>E46*N('Болжамдар'!$E$14)</f>
      </c>
      <c r="G45" s="23">
        <f>F46*N('Болжамдар'!$E$14)</f>
      </c>
      <c r="H45" s="23">
        <f>G46*N('Болжамдар'!$E$14)</f>
      </c>
      <c r="I45" s="23">
        <f>H46*N('Болжамдар'!$E$14)</f>
      </c>
      <c r="J45" s="23">
        <f>I46*N('Болжамдар'!$E$14)</f>
      </c>
      <c r="K45" s="23">
        <f>J46*N('Болжамдар'!$E$14)</f>
      </c>
      <c r="L45" s="23">
        <f>K46*N('Болжамдар'!$E$14)</f>
      </c>
      <c r="M45" s="23">
        <f>L46*N('Болжамдар'!$E$14)</f>
      </c>
      <c r="N45" s="23">
        <f>M46*N('Болжамдар'!$E$14)</f>
      </c>
      <c r="O45" s="23">
        <f>N46*N('Болжамдар'!$E$14)</f>
      </c>
      <c r="P45" s="23">
        <f>O46*N('Болжамдар'!$E$14)</f>
      </c>
      <c r="Q45" s="23">
        <f>P46*N('Болжамдар'!$E$14)</f>
      </c>
      <c r="R45" s="23">
        <f>Q46*N('Болжамдар'!$E$14)</f>
      </c>
      <c r="S45" s="23">
        <f>R46*N('Болжамдар'!$E$14)</f>
      </c>
      <c r="T45" s="23">
        <f>S46*N('Болжамдар'!$E$14)</f>
      </c>
      <c r="U45" s="23">
        <f>T46*N('Болжамдар'!$E$14)</f>
      </c>
      <c r="V45" s="23">
        <f>U46*N('Болжамдар'!$E$14)</f>
      </c>
      <c r="W45" s="23">
        <f>V46*N('Болжамдар'!$E$14)</f>
      </c>
      <c r="X45" s="23">
        <f>W46*N('Болжамдар'!$E$14)</f>
      </c>
      <c r="Y45" s="23">
        <f>X46*N('Болжамдар'!$E$14)</f>
      </c>
      <c r="Z45" s="23">
        <f>Y46*N('Болжамдар'!$E$14)</f>
      </c>
      <c r="AA45" s="23">
        <f>Z46*N('Болжамдар'!$E$14)</f>
      </c>
      <c r="AB45" s="23">
        <f>AA46*N('Болжамдар'!$E$14)</f>
      </c>
      <c r="AC45" s="23">
        <f>AB46*N('Болжамдар'!$E$14)</f>
      </c>
      <c r="AD45" s="23">
        <f>AC46*N('Болжамдар'!$E$14)</f>
      </c>
      <c r="AE45" s="23">
        <f>AD46*N('Болжамдар'!$E$14)</f>
      </c>
      <c r="AF45" s="23">
        <f>AE46*N('Болжамдар'!$E$14)</f>
      </c>
      <c r="AG45" s="23">
        <f>AF46*N('Болжамдар'!$E$14)</f>
      </c>
      <c r="AH45" s="23">
        <f>AG46*N('Болжамдар'!$E$14)</f>
      </c>
      <c r="AI45" s="23">
        <f>AH46*N('Болжамдар'!$E$14)</f>
      </c>
      <c r="AJ45" s="23">
        <f>AI46*N('Болжамдар'!$E$14)</f>
      </c>
      <c r="AK45" s="23">
        <f>AJ46*N('Болжамдар'!$E$14)</f>
      </c>
      <c r="AL45" s="23">
        <f>AK46*N('Болжамдар'!$E$14)</f>
      </c>
      <c r="AM45" s="23">
        <f>AL46*N('Болжамдар'!$E$14)</f>
      </c>
    </row>
    <row r="46" spans="1:39" x14ac:dyDescent="0.25">
      <c r="A46" s="26" t="s">
        <v>70</v>
      </c>
      <c r="B46" t="s">
        <v>34</v>
      </c>
      <c r="C46" s="23">
        <f>AM46</f>
      </c>
      <c r="D46" s="23">
        <f>0+D44-D45</f>
      </c>
      <c r="E46" s="23">
        <f>D46+E44-E45</f>
      </c>
      <c r="F46" s="23">
        <f>E46+F44-F45</f>
      </c>
      <c r="G46" s="23">
        <f>F46+G44-G45</f>
      </c>
      <c r="H46" s="23">
        <f>G46+H44-H45</f>
      </c>
      <c r="I46" s="23">
        <f>H46+I44-I45</f>
      </c>
      <c r="J46" s="23">
        <f>I46+J44-J45</f>
      </c>
      <c r="K46" s="23">
        <f>J46+K44-K45</f>
      </c>
      <c r="L46" s="23">
        <f>K46+L44-L45</f>
      </c>
      <c r="M46" s="23">
        <f>L46+M44-M45</f>
      </c>
      <c r="N46" s="23">
        <f>M46+N44-N45</f>
      </c>
      <c r="O46" s="23">
        <f>N46+O44-O45</f>
      </c>
      <c r="P46" s="23">
        <f>O46+P44-P45</f>
      </c>
      <c r="Q46" s="23">
        <f>P46+Q44-Q45</f>
      </c>
      <c r="R46" s="23">
        <f>Q46+R44-R45</f>
      </c>
      <c r="S46" s="23">
        <f>R46+S44-S45</f>
      </c>
      <c r="T46" s="23">
        <f>S46+T44-T45</f>
      </c>
      <c r="U46" s="23">
        <f>T46+U44-U45</f>
      </c>
      <c r="V46" s="23">
        <f>U46+V44-V45</f>
      </c>
      <c r="W46" s="23">
        <f>V46+W44-W45</f>
      </c>
      <c r="X46" s="23">
        <f>W46+X44-X45</f>
      </c>
      <c r="Y46" s="23">
        <f>X46+Y44-Y45</f>
      </c>
      <c r="Z46" s="23">
        <f>Y46+Z44-Z45</f>
      </c>
      <c r="AA46" s="23">
        <f>Z46+AA44-AA45</f>
      </c>
      <c r="AB46" s="23">
        <f>AA46+AB44-AB45</f>
      </c>
      <c r="AC46" s="23">
        <f>AB46+AC44-AC45</f>
      </c>
      <c r="AD46" s="23">
        <f>AC46+AD44-AD45</f>
      </c>
      <c r="AE46" s="23">
        <f>AD46+AE44-AE45</f>
      </c>
      <c r="AF46" s="23">
        <f>AE46+AF44-AF45</f>
      </c>
      <c r="AG46" s="23">
        <f>AF46+AG44-AG45</f>
      </c>
      <c r="AH46" s="23">
        <f>AG46+AH44-AH45</f>
      </c>
      <c r="AI46" s="23">
        <f>AH46+AI44-AI45</f>
      </c>
      <c r="AJ46" s="23">
        <f>AI46+AJ44-AJ45</f>
      </c>
      <c r="AK46" s="23">
        <f>AJ46+AK44-AK45</f>
      </c>
      <c r="AL46" s="23">
        <f>AK46+AL44-AL45</f>
      </c>
      <c r="AM46" s="23">
        <f>AL46+AM44-AM45</f>
      </c>
    </row>
    <row r="47" spans="1:39" x14ac:dyDescent="0.25">
      <c r="A47" s="26" t="s">
        <v>71</v>
      </c>
      <c r="B47" t="s">
        <v>32</v>
      </c>
      <c r="C47" s="16">
        <f>AM47</f>
      </c>
      <c r="D47" s="16">
        <f>D46*N('Болжамдар'!$E$7)</f>
      </c>
      <c r="E47" s="16">
        <f>E46*N('Болжамдар'!$E$7)</f>
      </c>
      <c r="F47" s="16">
        <f>F46*N('Болжамдар'!$E$7)</f>
      </c>
      <c r="G47" s="16">
        <f>G46*N('Болжамдар'!$E$7)</f>
      </c>
      <c r="H47" s="16">
        <f>H46*N('Болжамдар'!$E$7)</f>
      </c>
      <c r="I47" s="16">
        <f>I46*N('Болжамдар'!$E$7)</f>
      </c>
      <c r="J47" s="16">
        <f>J46*N('Болжамдар'!$E$7)</f>
      </c>
      <c r="K47" s="16">
        <f>K46*N('Болжамдар'!$E$7)</f>
      </c>
      <c r="L47" s="16">
        <f>L46*N('Болжамдар'!$E$7)</f>
      </c>
      <c r="M47" s="16">
        <f>M46*N('Болжамдар'!$E$7)</f>
      </c>
      <c r="N47" s="16">
        <f>N46*N('Болжамдар'!$E$7)</f>
      </c>
      <c r="O47" s="16">
        <f>O46*N('Болжамдар'!$E$7)</f>
      </c>
      <c r="P47" s="16">
        <f>P46*N('Болжамдар'!$E$7)</f>
      </c>
      <c r="Q47" s="16">
        <f>Q46*N('Болжамдар'!$E$7)</f>
      </c>
      <c r="R47" s="16">
        <f>R46*N('Болжамдар'!$E$7)</f>
      </c>
      <c r="S47" s="16">
        <f>S46*N('Болжамдар'!$E$7)</f>
      </c>
      <c r="T47" s="16">
        <f>T46*N('Болжамдар'!$E$7)</f>
      </c>
      <c r="U47" s="16">
        <f>U46*N('Болжамдар'!$E$7)</f>
      </c>
      <c r="V47" s="16">
        <f>V46*N('Болжамдар'!$E$7)</f>
      </c>
      <c r="W47" s="16">
        <f>W46*N('Болжамдар'!$E$7)</f>
      </c>
      <c r="X47" s="16">
        <f>X46*N('Болжамдар'!$E$7)</f>
      </c>
      <c r="Y47" s="16">
        <f>Y46*N('Болжамдар'!$E$7)</f>
      </c>
      <c r="Z47" s="16">
        <f>Z46*N('Болжамдар'!$E$7)</f>
      </c>
      <c r="AA47" s="16">
        <f>AA46*N('Болжамдар'!$E$7)</f>
      </c>
      <c r="AB47" s="16">
        <f>AB46*N('Болжамдар'!$E$7)</f>
      </c>
      <c r="AC47" s="16">
        <f>AC46*N('Болжамдар'!$E$7)</f>
      </c>
      <c r="AD47" s="16">
        <f>AD46*N('Болжамдар'!$E$7)</f>
      </c>
      <c r="AE47" s="16">
        <f>AE46*N('Болжамдар'!$E$7)</f>
      </c>
      <c r="AF47" s="16">
        <f>AF46*N('Болжамдар'!$E$7)</f>
      </c>
      <c r="AG47" s="16">
        <f>AG46*N('Болжамдар'!$E$7)</f>
      </c>
      <c r="AH47" s="16">
        <f>AH46*N('Болжамдар'!$E$7)</f>
      </c>
      <c r="AI47" s="16">
        <f>AI46*N('Болжамдар'!$E$7)</f>
      </c>
      <c r="AJ47" s="16">
        <f>AJ46*N('Болжамдар'!$E$7)</f>
      </c>
      <c r="AK47" s="16">
        <f>AK46*N('Болжамдар'!$E$7)</f>
      </c>
      <c r="AL47" s="16">
        <f>AL46*N('Болжамдар'!$E$7)</f>
      </c>
      <c r="AM47" s="16">
        <f>AM46*N('Болжамдар'!$E$7)</f>
      </c>
    </row>
    <row r="48" spans="1:39" x14ac:dyDescent="0.25">
      <c r="A48" s="26" t="s">
        <v>72</v>
      </c>
      <c r="B48" t="s">
        <v>73</v>
      </c>
      <c r="C48" s="16">
        <f>AM48</f>
      </c>
      <c r="D48" s="16">
        <f>D47*N('Болжамдар'!$E$6)/12</f>
      </c>
      <c r="E48" s="16">
        <f>E47*N('Болжамдар'!$E$6)/12</f>
      </c>
      <c r="F48" s="16">
        <f>F47*N('Болжамдар'!$E$6)/12</f>
      </c>
      <c r="G48" s="16">
        <f>G47*N('Болжамдар'!$E$6)/12</f>
      </c>
      <c r="H48" s="16">
        <f>H47*N('Болжамдар'!$E$6)/12</f>
      </c>
      <c r="I48" s="16">
        <f>I47*N('Болжамдар'!$E$6)/12</f>
      </c>
      <c r="J48" s="16">
        <f>J47*N('Болжамдар'!$E$6)/12</f>
      </c>
      <c r="K48" s="16">
        <f>K47*N('Болжамдар'!$E$6)/12</f>
      </c>
      <c r="L48" s="16">
        <f>L47*N('Болжамдар'!$E$6)/12</f>
      </c>
      <c r="M48" s="16">
        <f>M47*N('Болжамдар'!$E$6)/12</f>
      </c>
      <c r="N48" s="16">
        <f>N47*N('Болжамдар'!$E$6)/12</f>
      </c>
      <c r="O48" s="16">
        <f>O47*N('Болжамдар'!$E$6)/12</f>
      </c>
      <c r="P48" s="16">
        <f>P47*N('Болжамдар'!$E$6)/12</f>
      </c>
      <c r="Q48" s="16">
        <f>Q47*N('Болжамдар'!$E$6)/12</f>
      </c>
      <c r="R48" s="16">
        <f>R47*N('Болжамдар'!$E$6)/12</f>
      </c>
      <c r="S48" s="16">
        <f>S47*N('Болжамдар'!$E$6)/12</f>
      </c>
      <c r="T48" s="16">
        <f>T47*N('Болжамдар'!$E$6)/12</f>
      </c>
      <c r="U48" s="16">
        <f>U47*N('Болжамдар'!$E$6)/12</f>
      </c>
      <c r="V48" s="16">
        <f>V47*N('Болжамдар'!$E$6)/12</f>
      </c>
      <c r="W48" s="16">
        <f>W47*N('Болжамдар'!$E$6)/12</f>
      </c>
      <c r="X48" s="16">
        <f>X47*N('Болжамдар'!$E$6)/12</f>
      </c>
      <c r="Y48" s="16">
        <f>Y47*N('Болжамдар'!$E$6)/12</f>
      </c>
      <c r="Z48" s="16">
        <f>Z47*N('Болжамдар'!$E$6)/12</f>
      </c>
      <c r="AA48" s="16">
        <f>AA47*N('Болжамдар'!$E$6)/12</f>
      </c>
      <c r="AB48" s="16">
        <f>AB47*N('Болжамдар'!$E$6)/12</f>
      </c>
      <c r="AC48" s="16">
        <f>AC47*N('Болжамдар'!$E$6)/12</f>
      </c>
      <c r="AD48" s="16">
        <f>AD47*N('Болжамдар'!$E$6)/12</f>
      </c>
      <c r="AE48" s="16">
        <f>AE47*N('Болжамдар'!$E$6)/12</f>
      </c>
      <c r="AF48" s="16">
        <f>AF47*N('Болжамдар'!$E$6)/12</f>
      </c>
      <c r="AG48" s="16">
        <f>AG47*N('Болжамдар'!$E$6)/12</f>
      </c>
      <c r="AH48" s="16">
        <f>AH47*N('Болжамдар'!$E$6)/12</f>
      </c>
      <c r="AI48" s="16">
        <f>AI47*N('Болжамдар'!$E$6)/12</f>
      </c>
      <c r="AJ48" s="16">
        <f>AJ47*N('Болжамдар'!$E$6)/12</f>
      </c>
      <c r="AK48" s="16">
        <f>AK47*N('Болжамдар'!$E$6)/12</f>
      </c>
      <c r="AL48" s="16">
        <f>AL47*N('Болжамдар'!$E$6)/12</f>
      </c>
      <c r="AM48" s="16">
        <f>AM47*N('Болжамдар'!$E$6)/12</f>
      </c>
    </row>
    <row r="49" spans="1:39" x14ac:dyDescent="0.25">
      <c r="A49" s="26" t="s">
        <v>74</v>
      </c>
      <c r="B49" t="s">
        <v>75</v>
      </c>
      <c r="C49" s="16">
        <f>AM49</f>
      </c>
      <c r="D49" s="16">
        <f>D48*12</f>
      </c>
      <c r="E49" s="16">
        <f>E48*12</f>
      </c>
      <c r="F49" s="16">
        <f>F48*12</f>
      </c>
      <c r="G49" s="16">
        <f>G48*12</f>
      </c>
      <c r="H49" s="16">
        <f>H48*12</f>
      </c>
      <c r="I49" s="16">
        <f>I48*12</f>
      </c>
      <c r="J49" s="16">
        <f>J48*12</f>
      </c>
      <c r="K49" s="16">
        <f>K48*12</f>
      </c>
      <c r="L49" s="16">
        <f>L48*12</f>
      </c>
      <c r="M49" s="16">
        <f>M48*12</f>
      </c>
      <c r="N49" s="16">
        <f>N48*12</f>
      </c>
      <c r="O49" s="16">
        <f>O48*12</f>
      </c>
      <c r="P49" s="16">
        <f>P48*12</f>
      </c>
      <c r="Q49" s="16">
        <f>Q48*12</f>
      </c>
      <c r="R49" s="16">
        <f>R48*12</f>
      </c>
      <c r="S49" s="16">
        <f>S48*12</f>
      </c>
      <c r="T49" s="16">
        <f>T48*12</f>
      </c>
      <c r="U49" s="16">
        <f>U48*12</f>
      </c>
      <c r="V49" s="16">
        <f>V48*12</f>
      </c>
      <c r="W49" s="16">
        <f>W48*12</f>
      </c>
      <c r="X49" s="16">
        <f>X48*12</f>
      </c>
      <c r="Y49" s="16">
        <f>Y48*12</f>
      </c>
      <c r="Z49" s="16">
        <f>Z48*12</f>
      </c>
      <c r="AA49" s="16">
        <f>AA48*12</f>
      </c>
      <c r="AB49" s="16">
        <f>AB48*12</f>
      </c>
      <c r="AC49" s="16">
        <f>AC48*12</f>
      </c>
      <c r="AD49" s="16">
        <f>AD48*12</f>
      </c>
      <c r="AE49" s="16">
        <f>AE48*12</f>
      </c>
      <c r="AF49" s="16">
        <f>AF48*12</f>
      </c>
      <c r="AG49" s="16">
        <f>AG48*12</f>
      </c>
      <c r="AH49" s="16">
        <f>AH48*12</f>
      </c>
      <c r="AI49" s="16">
        <f>AI48*12</f>
      </c>
      <c r="AJ49" s="16">
        <f>AJ48*12</f>
      </c>
      <c r="AK49" s="16">
        <f>AK48*12</f>
      </c>
      <c r="AL49" s="16">
        <f>AL48*12</f>
      </c>
      <c r="AM49" s="16">
        <f>AM48*12</f>
      </c>
    </row>
    <row r="50" spans="1:39" x14ac:dyDescent="0.25">
      <c r="A50" s="26" t="s">
        <v>76</v>
      </c>
      <c r="B50" t="s">
        <v>29</v>
      </c>
      <c r="C50" s="16">
        <f>SUM(D50:AM50)</f>
      </c>
      <c r="D50" s="16">
        <f>D48</f>
      </c>
      <c r="E50" s="16">
        <f>E48</f>
      </c>
      <c r="F50" s="16">
        <f>F48</f>
      </c>
      <c r="G50" s="16">
        <f>G48</f>
      </c>
      <c r="H50" s="16">
        <f>H48</f>
      </c>
      <c r="I50" s="16">
        <f>I48</f>
      </c>
      <c r="J50" s="16">
        <f>J48</f>
      </c>
      <c r="K50" s="16">
        <f>K48</f>
      </c>
      <c r="L50" s="16">
        <f>L48</f>
      </c>
      <c r="M50" s="16">
        <f>M48</f>
      </c>
      <c r="N50" s="16">
        <f>N48</f>
      </c>
      <c r="O50" s="16">
        <f>O48</f>
      </c>
      <c r="P50" s="16">
        <f>P48</f>
      </c>
      <c r="Q50" s="16">
        <f>Q48</f>
      </c>
      <c r="R50" s="16">
        <f>R48</f>
      </c>
      <c r="S50" s="16">
        <f>S48</f>
      </c>
      <c r="T50" s="16">
        <f>T48</f>
      </c>
      <c r="U50" s="16">
        <f>U48</f>
      </c>
      <c r="V50" s="16">
        <f>V48</f>
      </c>
      <c r="W50" s="16">
        <f>W48</f>
      </c>
      <c r="X50" s="16">
        <f>X48</f>
      </c>
      <c r="Y50" s="16">
        <f>Y48</f>
      </c>
      <c r="Z50" s="16">
        <f>Z48</f>
      </c>
      <c r="AA50" s="16">
        <f>AA48</f>
      </c>
      <c r="AB50" s="16">
        <f>AB48</f>
      </c>
      <c r="AC50" s="16">
        <f>AC48</f>
      </c>
      <c r="AD50" s="16">
        <f>AD48</f>
      </c>
      <c r="AE50" s="16">
        <f>AE48</f>
      </c>
      <c r="AF50" s="16">
        <f>AF48</f>
      </c>
      <c r="AG50" s="16">
        <f>AG48</f>
      </c>
      <c r="AH50" s="16">
        <f>AH48</f>
      </c>
      <c r="AI50" s="16">
        <f>AI48</f>
      </c>
      <c r="AJ50" s="16">
        <f>AJ48</f>
      </c>
      <c r="AK50" s="16">
        <f>AK48</f>
      </c>
      <c r="AL50" s="16">
        <f>AL48</f>
      </c>
      <c r="AM50" s="16">
        <f>AM48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AM14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2" width="10" customWidth="1"/>
    <col min="3" max="3" width="16" customWidth="1"/>
    <col min="4" max="39" width="12" customWidth="1"/>
  </cols>
  <sheetData>
    <row r="1" spans="1:1" x14ac:dyDescent="0.25">
      <c r="A1" s="6" t="s">
        <v>80</v>
      </c>
    </row>
    <row r="2" spans="1:1" x14ac:dyDescent="0.25">
      <c r="A2" s="11" t="s">
        <v>81</v>
      </c>
    </row>
    <row r="4" spans="1:39" x14ac:dyDescent="0.25">
      <c r="A4" s="12" t="s">
        <v>82</v>
      </c>
      <c r="B4" s="12" t="s">
        <v>22</v>
      </c>
      <c r="C4" s="12" t="s">
        <v>64</v>
      </c>
      <c r="D4" s="24">
        <v>1</v>
      </c>
      <c r="E4" s="24">
        <f>D4+1</f>
      </c>
      <c r="F4" s="24">
        <f>E4+1</f>
      </c>
      <c r="G4" s="24">
        <f>F4+1</f>
      </c>
      <c r="H4" s="24">
        <f>G4+1</f>
      </c>
      <c r="I4" s="24">
        <f>H4+1</f>
      </c>
      <c r="J4" s="24">
        <f>I4+1</f>
      </c>
      <c r="K4" s="24">
        <f>J4+1</f>
      </c>
      <c r="L4" s="24">
        <f>K4+1</f>
      </c>
      <c r="M4" s="24">
        <f>L4+1</f>
      </c>
      <c r="N4" s="24">
        <f>M4+1</f>
      </c>
      <c r="O4" s="24">
        <f>N4+1</f>
      </c>
      <c r="P4" s="24">
        <f>O4+1</f>
      </c>
      <c r="Q4" s="24">
        <f>P4+1</f>
      </c>
      <c r="R4" s="24">
        <f>Q4+1</f>
      </c>
      <c r="S4" s="24">
        <f>R4+1</f>
      </c>
      <c r="T4" s="24">
        <f>S4+1</f>
      </c>
      <c r="U4" s="24">
        <f>T4+1</f>
      </c>
      <c r="V4" s="24">
        <f>U4+1</f>
      </c>
      <c r="W4" s="24">
        <f>V4+1</f>
      </c>
      <c r="X4" s="24">
        <f>W4+1</f>
      </c>
      <c r="Y4" s="24">
        <f>X4+1</f>
      </c>
      <c r="Z4" s="24">
        <f>Y4+1</f>
      </c>
      <c r="AA4" s="24">
        <f>Z4+1</f>
      </c>
      <c r="AB4" s="24">
        <f>AA4+1</f>
      </c>
      <c r="AC4" s="24">
        <f>AB4+1</f>
      </c>
      <c r="AD4" s="24">
        <f>AC4+1</f>
      </c>
      <c r="AE4" s="24">
        <f>AD4+1</f>
      </c>
      <c r="AF4" s="24">
        <f>AE4+1</f>
      </c>
      <c r="AG4" s="24">
        <f>AF4+1</f>
      </c>
      <c r="AH4" s="24">
        <f>AG4+1</f>
      </c>
      <c r="AI4" s="24">
        <f>AH4+1</f>
      </c>
      <c r="AJ4" s="24">
        <f>AI4+1</f>
      </c>
      <c r="AK4" s="24">
        <f>AJ4+1</f>
      </c>
      <c r="AL4" s="24">
        <f>AK4+1</f>
      </c>
      <c r="AM4" s="24">
        <f>AL4+1</f>
      </c>
    </row>
    <row r="5" spans="1:39" x14ac:dyDescent="0.25">
      <c r="A5" s="26" t="s">
        <v>70</v>
      </c>
      <c r="B5" t="s">
        <v>34</v>
      </c>
      <c r="C5" s="23">
        <f>AM5</f>
      </c>
      <c r="D5" s="23">
        <f>'Кіріс'!D10</f>
      </c>
      <c r="E5" s="23">
        <f>'Кіріс'!E10</f>
      </c>
      <c r="F5" s="23">
        <f>'Кіріс'!F10</f>
      </c>
      <c r="G5" s="23">
        <f>'Кіріс'!G10</f>
      </c>
      <c r="H5" s="23">
        <f>'Кіріс'!H10</f>
      </c>
      <c r="I5" s="23">
        <f>'Кіріс'!I10</f>
      </c>
      <c r="J5" s="23">
        <f>'Кіріс'!J10</f>
      </c>
      <c r="K5" s="23">
        <f>'Кіріс'!K10</f>
      </c>
      <c r="L5" s="23">
        <f>'Кіріс'!L10</f>
      </c>
      <c r="M5" s="23">
        <f>'Кіріс'!M10</f>
      </c>
      <c r="N5" s="23">
        <f>'Кіріс'!N10</f>
      </c>
      <c r="O5" s="23">
        <f>'Кіріс'!O10</f>
      </c>
      <c r="P5" s="23">
        <f>'Кіріс'!P10</f>
      </c>
      <c r="Q5" s="23">
        <f>'Кіріс'!Q10</f>
      </c>
      <c r="R5" s="23">
        <f>'Кіріс'!R10</f>
      </c>
      <c r="S5" s="23">
        <f>'Кіріс'!S10</f>
      </c>
      <c r="T5" s="23">
        <f>'Кіріс'!T10</f>
      </c>
      <c r="U5" s="23">
        <f>'Кіріс'!U10</f>
      </c>
      <c r="V5" s="23">
        <f>'Кіріс'!V10</f>
      </c>
      <c r="W5" s="23">
        <f>'Кіріс'!W10</f>
      </c>
      <c r="X5" s="23">
        <f>'Кіріс'!X10</f>
      </c>
      <c r="Y5" s="23">
        <f>'Кіріс'!Y10</f>
      </c>
      <c r="Z5" s="23">
        <f>'Кіріс'!Z10</f>
      </c>
      <c r="AA5" s="23">
        <f>'Кіріс'!AA10</f>
      </c>
      <c r="AB5" s="23">
        <f>'Кіріс'!AB10</f>
      </c>
      <c r="AC5" s="23">
        <f>'Кіріс'!AC10</f>
      </c>
      <c r="AD5" s="23">
        <f>'Кіріс'!AD10</f>
      </c>
      <c r="AE5" s="23">
        <f>'Кіріс'!AE10</f>
      </c>
      <c r="AF5" s="23">
        <f>'Кіріс'!AF10</f>
      </c>
      <c r="AG5" s="23">
        <f>'Кіріс'!AG10</f>
      </c>
      <c r="AH5" s="23">
        <f>'Кіріс'!AH10</f>
      </c>
      <c r="AI5" s="23">
        <f>'Кіріс'!AI10</f>
      </c>
      <c r="AJ5" s="23">
        <f>'Кіріс'!AJ10</f>
      </c>
      <c r="AK5" s="23">
        <f>'Кіріс'!AK10</f>
      </c>
      <c r="AL5" s="23">
        <f>'Кіріс'!AL10</f>
      </c>
      <c r="AM5" s="23">
        <f>'Кіріс'!AM10</f>
      </c>
    </row>
    <row r="6" spans="1:39" x14ac:dyDescent="0.25">
      <c r="A6" s="26" t="s">
        <v>83</v>
      </c>
      <c r="B6" t="s">
        <v>29</v>
      </c>
      <c r="C6" s="16">
        <f>SUM(D6:AM6)</f>
      </c>
      <c r="D6" s="16">
        <f>'Кіріс'!D14</f>
      </c>
      <c r="E6" s="16">
        <f>'Кіріс'!E14</f>
      </c>
      <c r="F6" s="16">
        <f>'Кіріс'!F14</f>
      </c>
      <c r="G6" s="16">
        <f>'Кіріс'!G14</f>
      </c>
      <c r="H6" s="16">
        <f>'Кіріс'!H14</f>
      </c>
      <c r="I6" s="16">
        <f>'Кіріс'!I14</f>
      </c>
      <c r="J6" s="16">
        <f>'Кіріс'!J14</f>
      </c>
      <c r="K6" s="16">
        <f>'Кіріс'!K14</f>
      </c>
      <c r="L6" s="16">
        <f>'Кіріс'!L14</f>
      </c>
      <c r="M6" s="16">
        <f>'Кіріс'!M14</f>
      </c>
      <c r="N6" s="16">
        <f>'Кіріс'!N14</f>
      </c>
      <c r="O6" s="16">
        <f>'Кіріс'!O14</f>
      </c>
      <c r="P6" s="16">
        <f>'Кіріс'!P14</f>
      </c>
      <c r="Q6" s="16">
        <f>'Кіріс'!Q14</f>
      </c>
      <c r="R6" s="16">
        <f>'Кіріс'!R14</f>
      </c>
      <c r="S6" s="16">
        <f>'Кіріс'!S14</f>
      </c>
      <c r="T6" s="16">
        <f>'Кіріс'!T14</f>
      </c>
      <c r="U6" s="16">
        <f>'Кіріс'!U14</f>
      </c>
      <c r="V6" s="16">
        <f>'Кіріс'!V14</f>
      </c>
      <c r="W6" s="16">
        <f>'Кіріс'!W14</f>
      </c>
      <c r="X6" s="16">
        <f>'Кіріс'!X14</f>
      </c>
      <c r="Y6" s="16">
        <f>'Кіріс'!Y14</f>
      </c>
      <c r="Z6" s="16">
        <f>'Кіріс'!Z14</f>
      </c>
      <c r="AA6" s="16">
        <f>'Кіріс'!AA14</f>
      </c>
      <c r="AB6" s="16">
        <f>'Кіріс'!AB14</f>
      </c>
      <c r="AC6" s="16">
        <f>'Кіріс'!AC14</f>
      </c>
      <c r="AD6" s="16">
        <f>'Кіріс'!AD14</f>
      </c>
      <c r="AE6" s="16">
        <f>'Кіріс'!AE14</f>
      </c>
      <c r="AF6" s="16">
        <f>'Кіріс'!AF14</f>
      </c>
      <c r="AG6" s="16">
        <f>'Кіріс'!AG14</f>
      </c>
      <c r="AH6" s="16">
        <f>'Кіріс'!AH14</f>
      </c>
      <c r="AI6" s="16">
        <f>'Кіріс'!AI14</f>
      </c>
      <c r="AJ6" s="16">
        <f>'Кіріс'!AJ14</f>
      </c>
      <c r="AK6" s="16">
        <f>'Кіріс'!AK14</f>
      </c>
      <c r="AL6" s="16">
        <f>'Кіріс'!AL14</f>
      </c>
      <c r="AM6" s="16">
        <f>'Кіріс'!AM14</f>
      </c>
    </row>
    <row r="7" spans="1:39" x14ac:dyDescent="0.25">
      <c r="A7" s="26" t="s">
        <v>84</v>
      </c>
      <c r="B7" t="s">
        <v>29</v>
      </c>
      <c r="C7" s="16">
        <f>SUM(D7:AM7)</f>
      </c>
      <c r="D7" s="16">
        <f>D5*N('Болжамдар'!$F$16)</f>
      </c>
      <c r="E7" s="16">
        <f>E5*N('Болжамдар'!$F$16)</f>
      </c>
      <c r="F7" s="16">
        <f>F5*N('Болжамдар'!$F$16)</f>
      </c>
      <c r="G7" s="16">
        <f>G5*N('Болжамдар'!$F$16)</f>
      </c>
      <c r="H7" s="16">
        <f>H5*N('Болжамдар'!$F$16)</f>
      </c>
      <c r="I7" s="16">
        <f>I5*N('Болжамдар'!$F$16)</f>
      </c>
      <c r="J7" s="16">
        <f>J5*N('Болжамдар'!$F$16)</f>
      </c>
      <c r="K7" s="16">
        <f>K5*N('Болжамдар'!$F$16)</f>
      </c>
      <c r="L7" s="16">
        <f>L5*N('Болжамдар'!$F$16)</f>
      </c>
      <c r="M7" s="16">
        <f>M5*N('Болжамдар'!$F$16)</f>
      </c>
      <c r="N7" s="16">
        <f>N5*N('Болжамдар'!$F$16)</f>
      </c>
      <c r="O7" s="16">
        <f>O5*N('Болжамдар'!$F$16)</f>
      </c>
      <c r="P7" s="16">
        <f>P5*N('Болжамдар'!$F$16)</f>
      </c>
      <c r="Q7" s="16">
        <f>Q5*N('Болжамдар'!$F$16)</f>
      </c>
      <c r="R7" s="16">
        <f>R5*N('Болжамдар'!$F$16)</f>
      </c>
      <c r="S7" s="16">
        <f>S5*N('Болжамдар'!$F$16)</f>
      </c>
      <c r="T7" s="16">
        <f>T5*N('Болжамдар'!$F$16)</f>
      </c>
      <c r="U7" s="16">
        <f>U5*N('Болжамдар'!$F$16)</f>
      </c>
      <c r="V7" s="16">
        <f>V5*N('Болжамдар'!$F$16)</f>
      </c>
      <c r="W7" s="16">
        <f>W5*N('Болжамдар'!$F$16)</f>
      </c>
      <c r="X7" s="16">
        <f>X5*N('Болжамдар'!$F$16)</f>
      </c>
      <c r="Y7" s="16">
        <f>Y5*N('Болжамдар'!$F$16)</f>
      </c>
      <c r="Z7" s="16">
        <f>Z5*N('Болжамдар'!$F$16)</f>
      </c>
      <c r="AA7" s="16">
        <f>AA5*N('Болжамдар'!$F$16)</f>
      </c>
      <c r="AB7" s="16">
        <f>AB5*N('Болжамдар'!$F$16)</f>
      </c>
      <c r="AC7" s="16">
        <f>AC5*N('Болжамдар'!$F$16)</f>
      </c>
      <c r="AD7" s="16">
        <f>AD5*N('Болжамдар'!$F$16)</f>
      </c>
      <c r="AE7" s="16">
        <f>AE5*N('Болжамдар'!$F$16)</f>
      </c>
      <c r="AF7" s="16">
        <f>AF5*N('Болжамдар'!$F$16)</f>
      </c>
      <c r="AG7" s="16">
        <f>AG5*N('Болжамдар'!$F$16)</f>
      </c>
      <c r="AH7" s="16">
        <f>AH5*N('Болжамдар'!$F$16)</f>
      </c>
      <c r="AI7" s="16">
        <f>AI5*N('Болжамдар'!$F$16)</f>
      </c>
      <c r="AJ7" s="16">
        <f>AJ5*N('Болжамдар'!$F$16)</f>
      </c>
      <c r="AK7" s="16">
        <f>AK5*N('Болжамдар'!$F$16)</f>
      </c>
      <c r="AL7" s="16">
        <f>AL5*N('Болжамдар'!$F$16)</f>
      </c>
      <c r="AM7" s="16">
        <f>AM5*N('Болжамдар'!$F$16)</f>
      </c>
    </row>
    <row r="8" spans="1:39" x14ac:dyDescent="0.25">
      <c r="A8" s="26" t="s">
        <v>85</v>
      </c>
      <c r="B8" t="s">
        <v>29</v>
      </c>
      <c r="C8" s="16">
        <f>SUM(D8:AM8)</f>
      </c>
      <c r="D8" s="16">
        <f>N('Болжамдар'!$F$21)</f>
      </c>
      <c r="E8" s="16">
        <f>N('Болжамдар'!$F$21)</f>
      </c>
      <c r="F8" s="16">
        <f>N('Болжамдар'!$F$21)</f>
      </c>
      <c r="G8" s="16">
        <f>N('Болжамдар'!$F$21)</f>
      </c>
      <c r="H8" s="16">
        <f>N('Болжамдар'!$F$21)</f>
      </c>
      <c r="I8" s="16">
        <f>N('Болжамдар'!$F$21)</f>
      </c>
      <c r="J8" s="16">
        <f>N('Болжамдар'!$F$21)</f>
      </c>
      <c r="K8" s="16">
        <f>N('Болжамдар'!$F$21)</f>
      </c>
      <c r="L8" s="16">
        <f>N('Болжамдар'!$F$21)</f>
      </c>
      <c r="M8" s="16">
        <f>N('Болжамдар'!$F$21)</f>
      </c>
      <c r="N8" s="16">
        <f>N('Болжамдар'!$F$21)</f>
      </c>
      <c r="O8" s="16">
        <f>N('Болжамдар'!$F$21)</f>
      </c>
      <c r="P8" s="16">
        <f>N('Болжамдар'!$F$21)</f>
      </c>
      <c r="Q8" s="16">
        <f>N('Болжамдар'!$F$21)</f>
      </c>
      <c r="R8" s="16">
        <f>N('Болжамдар'!$F$21)</f>
      </c>
      <c r="S8" s="16">
        <f>N('Болжамдар'!$F$21)</f>
      </c>
      <c r="T8" s="16">
        <f>N('Болжамдар'!$F$21)</f>
      </c>
      <c r="U8" s="16">
        <f>N('Болжамдар'!$F$21)</f>
      </c>
      <c r="V8" s="16">
        <f>N('Болжамдар'!$F$21)</f>
      </c>
      <c r="W8" s="16">
        <f>N('Болжамдар'!$F$21)</f>
      </c>
      <c r="X8" s="16">
        <f>N('Болжамдар'!$F$21)</f>
      </c>
      <c r="Y8" s="16">
        <f>N('Болжамдар'!$F$21)</f>
      </c>
      <c r="Z8" s="16">
        <f>N('Болжамдар'!$F$21)</f>
      </c>
      <c r="AA8" s="16">
        <f>N('Болжамдар'!$F$21)</f>
      </c>
      <c r="AB8" s="16">
        <f>N('Болжамдар'!$F$21)</f>
      </c>
      <c r="AC8" s="16">
        <f>N('Болжамдар'!$F$21)</f>
      </c>
      <c r="AD8" s="16">
        <f>N('Болжамдар'!$F$21)</f>
      </c>
      <c r="AE8" s="16">
        <f>N('Болжамдар'!$F$21)</f>
      </c>
      <c r="AF8" s="16">
        <f>N('Болжамдар'!$F$21)</f>
      </c>
      <c r="AG8" s="16">
        <f>N('Болжамдар'!$F$21)</f>
      </c>
      <c r="AH8" s="16">
        <f>N('Болжамдар'!$F$21)</f>
      </c>
      <c r="AI8" s="16">
        <f>N('Болжамдар'!$F$21)</f>
      </c>
      <c r="AJ8" s="16">
        <f>N('Болжамдар'!$F$21)</f>
      </c>
      <c r="AK8" s="16">
        <f>N('Болжамдар'!$F$21)</f>
      </c>
      <c r="AL8" s="16">
        <f>N('Болжамдар'!$F$21)</f>
      </c>
      <c r="AM8" s="16">
        <f>N('Болжамдар'!$F$21)</f>
      </c>
    </row>
    <row r="9" spans="1:39" x14ac:dyDescent="0.25">
      <c r="A9" s="26" t="s">
        <v>86</v>
      </c>
      <c r="B9" t="s">
        <v>29</v>
      </c>
      <c r="C9" s="16">
        <f>SUM(D9:AM9)</f>
      </c>
      <c r="D9" s="16">
        <f>D5*N('Болжамдар'!$F$17)*N('Болжамдар'!$F$18)</f>
      </c>
      <c r="E9" s="16">
        <f>E5*N('Болжамдар'!$F$17)*N('Болжамдар'!$F$18)</f>
      </c>
      <c r="F9" s="16">
        <f>F5*N('Болжамдар'!$F$17)*N('Болжамдар'!$F$18)</f>
      </c>
      <c r="G9" s="16">
        <f>G5*N('Болжамдар'!$F$17)*N('Болжамдар'!$F$18)</f>
      </c>
      <c r="H9" s="16">
        <f>H5*N('Болжамдар'!$F$17)*N('Болжамдар'!$F$18)</f>
      </c>
      <c r="I9" s="16">
        <f>I5*N('Болжамдар'!$F$17)*N('Болжамдар'!$F$18)</f>
      </c>
      <c r="J9" s="16">
        <f>J5*N('Болжамдар'!$F$17)*N('Болжамдар'!$F$18)</f>
      </c>
      <c r="K9" s="16">
        <f>K5*N('Болжамдар'!$F$17)*N('Болжамдар'!$F$18)</f>
      </c>
      <c r="L9" s="16">
        <f>L5*N('Болжамдар'!$F$17)*N('Болжамдар'!$F$18)</f>
      </c>
      <c r="M9" s="16">
        <f>M5*N('Болжамдар'!$F$17)*N('Болжамдар'!$F$18)</f>
      </c>
      <c r="N9" s="16">
        <f>N5*N('Болжамдар'!$F$17)*N('Болжамдар'!$F$18)</f>
      </c>
      <c r="O9" s="16">
        <f>O5*N('Болжамдар'!$F$17)*N('Болжамдар'!$F$18)</f>
      </c>
      <c r="P9" s="16">
        <f>P5*N('Болжамдар'!$F$17)*N('Болжамдар'!$F$18)</f>
      </c>
      <c r="Q9" s="16">
        <f>Q5*N('Болжамдар'!$F$17)*N('Болжамдар'!$F$18)</f>
      </c>
      <c r="R9" s="16">
        <f>R5*N('Болжамдар'!$F$17)*N('Болжамдар'!$F$18)</f>
      </c>
      <c r="S9" s="16">
        <f>S5*N('Болжамдар'!$F$17)*N('Болжамдар'!$F$18)</f>
      </c>
      <c r="T9" s="16">
        <f>T5*N('Болжамдар'!$F$17)*N('Болжамдар'!$F$18)</f>
      </c>
      <c r="U9" s="16">
        <f>U5*N('Болжамдар'!$F$17)*N('Болжамдар'!$F$18)</f>
      </c>
      <c r="V9" s="16">
        <f>V5*N('Болжамдар'!$F$17)*N('Болжамдар'!$F$18)</f>
      </c>
      <c r="W9" s="16">
        <f>W5*N('Болжамдар'!$F$17)*N('Болжамдар'!$F$18)</f>
      </c>
      <c r="X9" s="16">
        <f>X5*N('Болжамдар'!$F$17)*N('Болжамдар'!$F$18)</f>
      </c>
      <c r="Y9" s="16">
        <f>Y5*N('Болжамдар'!$F$17)*N('Болжамдар'!$F$18)</f>
      </c>
      <c r="Z9" s="16">
        <f>Z5*N('Болжамдар'!$F$17)*N('Болжамдар'!$F$18)</f>
      </c>
      <c r="AA9" s="16">
        <f>AA5*N('Болжамдар'!$F$17)*N('Болжамдар'!$F$18)</f>
      </c>
      <c r="AB9" s="16">
        <f>AB5*N('Болжамдар'!$F$17)*N('Болжамдар'!$F$18)</f>
      </c>
      <c r="AC9" s="16">
        <f>AC5*N('Болжамдар'!$F$17)*N('Болжамдар'!$F$18)</f>
      </c>
      <c r="AD9" s="16">
        <f>AD5*N('Болжамдар'!$F$17)*N('Болжамдар'!$F$18)</f>
      </c>
      <c r="AE9" s="16">
        <f>AE5*N('Болжамдар'!$F$17)*N('Болжамдар'!$F$18)</f>
      </c>
      <c r="AF9" s="16">
        <f>AF5*N('Болжамдар'!$F$17)*N('Болжамдар'!$F$18)</f>
      </c>
      <c r="AG9" s="16">
        <f>AG5*N('Болжамдар'!$F$17)*N('Болжамдар'!$F$18)</f>
      </c>
      <c r="AH9" s="16">
        <f>AH5*N('Болжамдар'!$F$17)*N('Болжамдар'!$F$18)</f>
      </c>
      <c r="AI9" s="16">
        <f>AI5*N('Болжамдар'!$F$17)*N('Болжамдар'!$F$18)</f>
      </c>
      <c r="AJ9" s="16">
        <f>AJ5*N('Болжамдар'!$F$17)*N('Болжамдар'!$F$18)</f>
      </c>
      <c r="AK9" s="16">
        <f>AK5*N('Болжамдар'!$F$17)*N('Болжамдар'!$F$18)</f>
      </c>
      <c r="AL9" s="16">
        <f>AL5*N('Болжамдар'!$F$17)*N('Болжамдар'!$F$18)</f>
      </c>
      <c r="AM9" s="16">
        <f>AM5*N('Болжамдар'!$F$17)*N('Болжамдар'!$F$18)</f>
      </c>
    </row>
    <row r="10" spans="1:39" x14ac:dyDescent="0.25">
      <c r="A10" s="26" t="s">
        <v>87</v>
      </c>
      <c r="B10" t="s">
        <v>29</v>
      </c>
      <c r="C10" s="16">
        <f>SUM(D10:AM10)</f>
      </c>
      <c r="D10" s="16">
        <f>N('Болжамдар'!$F$22)*N('Болжамдар'!$F$23)</f>
      </c>
      <c r="E10" s="16">
        <f>N('Болжамдар'!$F$22)*N('Болжамдар'!$F$23)</f>
      </c>
      <c r="F10" s="16">
        <f>N('Болжамдар'!$F$22)*N('Болжамдар'!$F$23)</f>
      </c>
      <c r="G10" s="16">
        <f>N('Болжамдар'!$F$22)*N('Болжамдар'!$F$23)</f>
      </c>
      <c r="H10" s="16">
        <f>N('Болжамдар'!$F$22)*N('Болжамдар'!$F$23)</f>
      </c>
      <c r="I10" s="16">
        <f>N('Болжамдар'!$F$22)*N('Болжамдар'!$F$23)</f>
      </c>
      <c r="J10" s="16">
        <f>N('Болжамдар'!$F$22)*N('Болжамдар'!$F$23)</f>
      </c>
      <c r="K10" s="16">
        <f>N('Болжамдар'!$F$22)*N('Болжамдар'!$F$23)</f>
      </c>
      <c r="L10" s="16">
        <f>N('Болжамдар'!$F$22)*N('Болжамдар'!$F$23)</f>
      </c>
      <c r="M10" s="16">
        <f>N('Болжамдар'!$F$22)*N('Болжамдар'!$F$23)</f>
      </c>
      <c r="N10" s="16">
        <f>N('Болжамдар'!$F$22)*N('Болжамдар'!$F$23)</f>
      </c>
      <c r="O10" s="16">
        <f>N('Болжамдар'!$F$22)*N('Болжамдар'!$F$23)</f>
      </c>
      <c r="P10" s="16">
        <f>N('Болжамдар'!$F$22)*N('Болжамдар'!$F$23)</f>
      </c>
      <c r="Q10" s="16">
        <f>N('Болжамдар'!$F$22)*N('Болжамдар'!$F$23)</f>
      </c>
      <c r="R10" s="16">
        <f>N('Болжамдар'!$F$22)*N('Болжамдар'!$F$23)</f>
      </c>
      <c r="S10" s="16">
        <f>N('Болжамдар'!$F$22)*N('Болжамдар'!$F$23)</f>
      </c>
      <c r="T10" s="16">
        <f>N('Болжамдар'!$F$22)*N('Болжамдар'!$F$23)</f>
      </c>
      <c r="U10" s="16">
        <f>N('Болжамдар'!$F$22)*N('Болжамдар'!$F$23)</f>
      </c>
      <c r="V10" s="16">
        <f>N('Болжамдар'!$F$22)*N('Болжамдар'!$F$23)</f>
      </c>
      <c r="W10" s="16">
        <f>N('Болжамдар'!$F$22)*N('Болжамдар'!$F$23)</f>
      </c>
      <c r="X10" s="16">
        <f>N('Болжамдар'!$F$22)*N('Болжамдар'!$F$23)</f>
      </c>
      <c r="Y10" s="16">
        <f>N('Болжамдар'!$F$22)*N('Болжамдар'!$F$23)</f>
      </c>
      <c r="Z10" s="16">
        <f>N('Болжамдар'!$F$22)*N('Болжамдар'!$F$23)</f>
      </c>
      <c r="AA10" s="16">
        <f>N('Болжамдар'!$F$22)*N('Болжамдар'!$F$23)</f>
      </c>
      <c r="AB10" s="16">
        <f>N('Болжамдар'!$F$22)*N('Болжамдар'!$F$23)</f>
      </c>
      <c r="AC10" s="16">
        <f>N('Болжамдар'!$F$22)*N('Болжамдар'!$F$23)</f>
      </c>
      <c r="AD10" s="16">
        <f>N('Болжамдар'!$F$22)*N('Болжамдар'!$F$23)</f>
      </c>
      <c r="AE10" s="16">
        <f>N('Болжамдар'!$F$22)*N('Болжамдар'!$F$23)</f>
      </c>
      <c r="AF10" s="16">
        <f>N('Болжамдар'!$F$22)*N('Болжамдар'!$F$23)</f>
      </c>
      <c r="AG10" s="16">
        <f>N('Болжамдар'!$F$22)*N('Болжамдар'!$F$23)</f>
      </c>
      <c r="AH10" s="16">
        <f>N('Болжамдар'!$F$22)*N('Болжамдар'!$F$23)</f>
      </c>
      <c r="AI10" s="16">
        <f>N('Болжамдар'!$F$22)*N('Болжамдар'!$F$23)</f>
      </c>
      <c r="AJ10" s="16">
        <f>N('Болжамдар'!$F$22)*N('Болжамдар'!$F$23)</f>
      </c>
      <c r="AK10" s="16">
        <f>N('Болжамдар'!$F$22)*N('Болжамдар'!$F$23)</f>
      </c>
      <c r="AL10" s="16">
        <f>N('Болжамдар'!$F$22)*N('Болжамдар'!$F$23)</f>
      </c>
      <c r="AM10" s="16">
        <f>N('Болжамдар'!$F$22)*N('Болжамдар'!$F$23)</f>
      </c>
    </row>
    <row r="11" spans="1:39" x14ac:dyDescent="0.25">
      <c r="A11" s="26" t="s">
        <v>88</v>
      </c>
      <c r="B11" t="s">
        <v>29</v>
      </c>
      <c r="C11" s="16">
        <f>SUM(D11:AM11)</f>
      </c>
      <c r="D11" s="16">
        <f>N('Болжамдар'!$F$24)</f>
      </c>
      <c r="E11" s="16">
        <f>N('Болжамдар'!$F$24)</f>
      </c>
      <c r="F11" s="16">
        <f>N('Болжамдар'!$F$24)</f>
      </c>
      <c r="G11" s="16">
        <f>N('Болжамдар'!$F$24)</f>
      </c>
      <c r="H11" s="16">
        <f>N('Болжамдар'!$F$24)</f>
      </c>
      <c r="I11" s="16">
        <f>N('Болжамдар'!$F$24)</f>
      </c>
      <c r="J11" s="16">
        <f>N('Болжамдар'!$F$24)</f>
      </c>
      <c r="K11" s="16">
        <f>N('Болжамдар'!$F$24)</f>
      </c>
      <c r="L11" s="16">
        <f>N('Болжамдар'!$F$24)</f>
      </c>
      <c r="M11" s="16">
        <f>N('Болжамдар'!$F$24)</f>
      </c>
      <c r="N11" s="16">
        <f>N('Болжамдар'!$F$24)</f>
      </c>
      <c r="O11" s="16">
        <f>N('Болжамдар'!$F$24)</f>
      </c>
      <c r="P11" s="16">
        <f>N('Болжамдар'!$F$24)</f>
      </c>
      <c r="Q11" s="16">
        <f>N('Болжамдар'!$F$24)</f>
      </c>
      <c r="R11" s="16">
        <f>N('Болжамдар'!$F$24)</f>
      </c>
      <c r="S11" s="16">
        <f>N('Болжамдар'!$F$24)</f>
      </c>
      <c r="T11" s="16">
        <f>N('Болжамдар'!$F$24)</f>
      </c>
      <c r="U11" s="16">
        <f>N('Болжамдар'!$F$24)</f>
      </c>
      <c r="V11" s="16">
        <f>N('Болжамдар'!$F$24)</f>
      </c>
      <c r="W11" s="16">
        <f>N('Болжамдар'!$F$24)</f>
      </c>
      <c r="X11" s="16">
        <f>N('Болжамдар'!$F$24)</f>
      </c>
      <c r="Y11" s="16">
        <f>N('Болжамдар'!$F$24)</f>
      </c>
      <c r="Z11" s="16">
        <f>N('Болжамдар'!$F$24)</f>
      </c>
      <c r="AA11" s="16">
        <f>N('Болжамдар'!$F$24)</f>
      </c>
      <c r="AB11" s="16">
        <f>N('Болжамдар'!$F$24)</f>
      </c>
      <c r="AC11" s="16">
        <f>N('Болжамдар'!$F$24)</f>
      </c>
      <c r="AD11" s="16">
        <f>N('Болжамдар'!$F$24)</f>
      </c>
      <c r="AE11" s="16">
        <f>N('Болжамдар'!$F$24)</f>
      </c>
      <c r="AF11" s="16">
        <f>N('Болжамдар'!$F$24)</f>
      </c>
      <c r="AG11" s="16">
        <f>N('Болжамдар'!$F$24)</f>
      </c>
      <c r="AH11" s="16">
        <f>N('Болжамдар'!$F$24)</f>
      </c>
      <c r="AI11" s="16">
        <f>N('Болжамдар'!$F$24)</f>
      </c>
      <c r="AJ11" s="16">
        <f>N('Болжамдар'!$F$24)</f>
      </c>
      <c r="AK11" s="16">
        <f>N('Болжамдар'!$F$24)</f>
      </c>
      <c r="AL11" s="16">
        <f>N('Болжамдар'!$F$24)</f>
      </c>
      <c r="AM11" s="16">
        <f>N('Болжамдар'!$F$24)</f>
      </c>
    </row>
    <row r="12" spans="1:39" x14ac:dyDescent="0.25">
      <c r="A12" s="26" t="s">
        <v>89</v>
      </c>
      <c r="B12" t="s">
        <v>29</v>
      </c>
      <c r="C12" s="16">
        <f>SUM(D12:AM12)</f>
      </c>
      <c r="D12" s="16">
        <f>N('Болжамдар'!$F$25)</f>
      </c>
      <c r="E12" s="16">
        <f>N('Болжамдар'!$F$25)</f>
      </c>
      <c r="F12" s="16">
        <f>N('Болжамдар'!$F$25)</f>
      </c>
      <c r="G12" s="16">
        <f>N('Болжамдар'!$F$25)</f>
      </c>
      <c r="H12" s="16">
        <f>N('Болжамдар'!$F$25)</f>
      </c>
      <c r="I12" s="16">
        <f>N('Болжамдар'!$F$25)</f>
      </c>
      <c r="J12" s="16">
        <f>N('Болжамдар'!$F$25)</f>
      </c>
      <c r="K12" s="16">
        <f>N('Болжамдар'!$F$25)</f>
      </c>
      <c r="L12" s="16">
        <f>N('Болжамдар'!$F$25)</f>
      </c>
      <c r="M12" s="16">
        <f>N('Болжамдар'!$F$25)</f>
      </c>
      <c r="N12" s="16">
        <f>N('Болжамдар'!$F$25)</f>
      </c>
      <c r="O12" s="16">
        <f>N('Болжамдар'!$F$25)</f>
      </c>
      <c r="P12" s="16">
        <f>N('Болжамдар'!$F$25)</f>
      </c>
      <c r="Q12" s="16">
        <f>N('Болжамдар'!$F$25)</f>
      </c>
      <c r="R12" s="16">
        <f>N('Болжамдар'!$F$25)</f>
      </c>
      <c r="S12" s="16">
        <f>N('Болжамдар'!$F$25)</f>
      </c>
      <c r="T12" s="16">
        <f>N('Болжамдар'!$F$25)</f>
      </c>
      <c r="U12" s="16">
        <f>N('Болжамдар'!$F$25)</f>
      </c>
      <c r="V12" s="16">
        <f>N('Болжамдар'!$F$25)</f>
      </c>
      <c r="W12" s="16">
        <f>N('Болжамдар'!$F$25)</f>
      </c>
      <c r="X12" s="16">
        <f>N('Болжамдар'!$F$25)</f>
      </c>
      <c r="Y12" s="16">
        <f>N('Болжамдар'!$F$25)</f>
      </c>
      <c r="Z12" s="16">
        <f>N('Болжамдар'!$F$25)</f>
      </c>
      <c r="AA12" s="16">
        <f>N('Болжамдар'!$F$25)</f>
      </c>
      <c r="AB12" s="16">
        <f>N('Болжамдар'!$F$25)</f>
      </c>
      <c r="AC12" s="16">
        <f>N('Болжамдар'!$F$25)</f>
      </c>
      <c r="AD12" s="16">
        <f>N('Болжамдар'!$F$25)</f>
      </c>
      <c r="AE12" s="16">
        <f>N('Болжамдар'!$F$25)</f>
      </c>
      <c r="AF12" s="16">
        <f>N('Болжамдар'!$F$25)</f>
      </c>
      <c r="AG12" s="16">
        <f>N('Болжамдар'!$F$25)</f>
      </c>
      <c r="AH12" s="16">
        <f>N('Болжамдар'!$F$25)</f>
      </c>
      <c r="AI12" s="16">
        <f>N('Болжамдар'!$F$25)</f>
      </c>
      <c r="AJ12" s="16">
        <f>N('Болжамдар'!$F$25)</f>
      </c>
      <c r="AK12" s="16">
        <f>N('Болжамдар'!$F$25)</f>
      </c>
      <c r="AL12" s="16">
        <f>N('Болжамдар'!$F$25)</f>
      </c>
      <c r="AM12" s="16">
        <f>N('Болжамдар'!$F$25)</f>
      </c>
    </row>
    <row r="13" spans="1:39" x14ac:dyDescent="0.25">
      <c r="A13" s="26" t="s">
        <v>90</v>
      </c>
      <c r="B13" t="s">
        <v>29</v>
      </c>
      <c r="C13" s="16">
        <f>SUM(D13:AM13)</f>
      </c>
      <c r="D13" s="16">
        <f>D6*N('Болжамдар'!$F$19)</f>
      </c>
      <c r="E13" s="16">
        <f>E6*N('Болжамдар'!$F$19)</f>
      </c>
      <c r="F13" s="16">
        <f>F6*N('Болжамдар'!$F$19)</f>
      </c>
      <c r="G13" s="16">
        <f>G6*N('Болжамдар'!$F$19)</f>
      </c>
      <c r="H13" s="16">
        <f>H6*N('Болжамдар'!$F$19)</f>
      </c>
      <c r="I13" s="16">
        <f>I6*N('Болжамдар'!$F$19)</f>
      </c>
      <c r="J13" s="16">
        <f>J6*N('Болжамдар'!$F$19)</f>
      </c>
      <c r="K13" s="16">
        <f>K6*N('Болжамдар'!$F$19)</f>
      </c>
      <c r="L13" s="16">
        <f>L6*N('Болжамдар'!$F$19)</f>
      </c>
      <c r="M13" s="16">
        <f>M6*N('Болжамдар'!$F$19)</f>
      </c>
      <c r="N13" s="16">
        <f>N6*N('Болжамдар'!$F$19)</f>
      </c>
      <c r="O13" s="16">
        <f>O6*N('Болжамдар'!$F$19)</f>
      </c>
      <c r="P13" s="16">
        <f>P6*N('Болжамдар'!$F$19)</f>
      </c>
      <c r="Q13" s="16">
        <f>Q6*N('Болжамдар'!$F$19)</f>
      </c>
      <c r="R13" s="16">
        <f>R6*N('Болжамдар'!$F$19)</f>
      </c>
      <c r="S13" s="16">
        <f>S6*N('Болжамдар'!$F$19)</f>
      </c>
      <c r="T13" s="16">
        <f>T6*N('Болжамдар'!$F$19)</f>
      </c>
      <c r="U13" s="16">
        <f>U6*N('Болжамдар'!$F$19)</f>
      </c>
      <c r="V13" s="16">
        <f>V6*N('Болжамдар'!$F$19)</f>
      </c>
      <c r="W13" s="16">
        <f>W6*N('Болжамдар'!$F$19)</f>
      </c>
      <c r="X13" s="16">
        <f>X6*N('Болжамдар'!$F$19)</f>
      </c>
      <c r="Y13" s="16">
        <f>Y6*N('Болжамдар'!$F$19)</f>
      </c>
      <c r="Z13" s="16">
        <f>Z6*N('Болжамдар'!$F$19)</f>
      </c>
      <c r="AA13" s="16">
        <f>AA6*N('Болжамдар'!$F$19)</f>
      </c>
      <c r="AB13" s="16">
        <f>AB6*N('Болжамдар'!$F$19)</f>
      </c>
      <c r="AC13" s="16">
        <f>AC6*N('Болжамдар'!$F$19)</f>
      </c>
      <c r="AD13" s="16">
        <f>AD6*N('Болжамдар'!$F$19)</f>
      </c>
      <c r="AE13" s="16">
        <f>AE6*N('Болжамдар'!$F$19)</f>
      </c>
      <c r="AF13" s="16">
        <f>AF6*N('Болжамдар'!$F$19)</f>
      </c>
      <c r="AG13" s="16">
        <f>AG6*N('Болжамдар'!$F$19)</f>
      </c>
      <c r="AH13" s="16">
        <f>AH6*N('Болжамдар'!$F$19)</f>
      </c>
      <c r="AI13" s="16">
        <f>AI6*N('Болжамдар'!$F$19)</f>
      </c>
      <c r="AJ13" s="16">
        <f>AJ6*N('Болжамдар'!$F$19)</f>
      </c>
      <c r="AK13" s="16">
        <f>AK6*N('Болжамдар'!$F$19)</f>
      </c>
      <c r="AL13" s="16">
        <f>AL6*N('Болжамдар'!$F$19)</f>
      </c>
      <c r="AM13" s="16">
        <f>AM6*N('Болжамдар'!$F$19)</f>
      </c>
    </row>
    <row r="14" spans="1:39" x14ac:dyDescent="0.25">
      <c r="A14" s="7" t="s">
        <v>91</v>
      </c>
      <c r="B14" s="7" t="s">
        <v>29</v>
      </c>
      <c r="C14" s="27">
        <f>SUM(D14:AM14)</f>
      </c>
      <c r="D14" s="27">
        <f>SUM(D7:D13)</f>
      </c>
      <c r="E14" s="27">
        <f>SUM(E7:E13)</f>
      </c>
      <c r="F14" s="27">
        <f>SUM(F7:F13)</f>
      </c>
      <c r="G14" s="27">
        <f>SUM(G7:G13)</f>
      </c>
      <c r="H14" s="27">
        <f>SUM(H7:H13)</f>
      </c>
      <c r="I14" s="27">
        <f>SUM(I7:I13)</f>
      </c>
      <c r="J14" s="27">
        <f>SUM(J7:J13)</f>
      </c>
      <c r="K14" s="27">
        <f>SUM(K7:K13)</f>
      </c>
      <c r="L14" s="27">
        <f>SUM(L7:L13)</f>
      </c>
      <c r="M14" s="27">
        <f>SUM(M7:M13)</f>
      </c>
      <c r="N14" s="27">
        <f>SUM(N7:N13)</f>
      </c>
      <c r="O14" s="27">
        <f>SUM(O7:O13)</f>
      </c>
      <c r="P14" s="27">
        <f>SUM(P7:P13)</f>
      </c>
      <c r="Q14" s="27">
        <f>SUM(Q7:Q13)</f>
      </c>
      <c r="R14" s="27">
        <f>SUM(R7:R13)</f>
      </c>
      <c r="S14" s="27">
        <f>SUM(S7:S13)</f>
      </c>
      <c r="T14" s="27">
        <f>SUM(T7:T13)</f>
      </c>
      <c r="U14" s="27">
        <f>SUM(U7:U13)</f>
      </c>
      <c r="V14" s="27">
        <f>SUM(V7:V13)</f>
      </c>
      <c r="W14" s="27">
        <f>SUM(W7:W13)</f>
      </c>
      <c r="X14" s="27">
        <f>SUM(X7:X13)</f>
      </c>
      <c r="Y14" s="27">
        <f>SUM(Y7:Y13)</f>
      </c>
      <c r="Z14" s="27">
        <f>SUM(Z7:Z13)</f>
      </c>
      <c r="AA14" s="27">
        <f>SUM(AA7:AA13)</f>
      </c>
      <c r="AB14" s="27">
        <f>SUM(AB7:AB13)</f>
      </c>
      <c r="AC14" s="27">
        <f>SUM(AC7:AC13)</f>
      </c>
      <c r="AD14" s="27">
        <f>SUM(AD7:AD13)</f>
      </c>
      <c r="AE14" s="27">
        <f>SUM(AE7:AE13)</f>
      </c>
      <c r="AF14" s="27">
        <f>SUM(AF7:AF13)</f>
      </c>
      <c r="AG14" s="27">
        <f>SUM(AG7:AG13)</f>
      </c>
      <c r="AH14" s="27">
        <f>SUM(AH7:AH13)</f>
      </c>
      <c r="AI14" s="27">
        <f>SUM(AI7:AI13)</f>
      </c>
      <c r="AJ14" s="27">
        <f>SUM(AJ7:AJ13)</f>
      </c>
      <c r="AK14" s="27">
        <f>SUM(AK7:AK13)</f>
      </c>
      <c r="AL14" s="27">
        <f>SUM(AL7:AL13)</f>
      </c>
      <c r="AM14" s="27">
        <f>SUM(AM7:AM13)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AM26"/>
  <sheetViews>
    <sheetView workbookViewId="0">
      <pane xSplit="3" topLeftCell="D1" activePane="topRight" state="frozen"/>
      <selection pane="topRight"/>
    </sheetView>
  </sheetViews>
  <sheetFormatPr defaultRowHeight="15" outlineLevelRow="0" outlineLevelCol="0" x14ac:dyDescent="55"/>
  <cols>
    <col min="1" max="1" width="42" customWidth="1"/>
    <col min="2" max="2" width="10" customWidth="1"/>
    <col min="3" max="3" width="16" customWidth="1"/>
    <col min="4" max="39" width="12" customWidth="1"/>
  </cols>
  <sheetData>
    <row r="1" spans="1:1" x14ac:dyDescent="0.25">
      <c r="A1" s="6" t="s">
        <v>92</v>
      </c>
    </row>
    <row r="2" spans="1:1" x14ac:dyDescent="0.25">
      <c r="A2" s="11" t="s">
        <v>93</v>
      </c>
    </row>
    <row r="4" spans="1:5" x14ac:dyDescent="0.25">
      <c r="A4" s="12" t="s">
        <v>94</v>
      </c>
      <c r="B4" s="12" t="s">
        <v>22</v>
      </c>
      <c r="C4" s="12" t="s">
        <v>95</v>
      </c>
      <c r="D4" s="12" t="s">
        <v>96</v>
      </c>
      <c r="E4" s="12" t="s">
        <v>97</v>
      </c>
    </row>
    <row r="5" spans="1:5" x14ac:dyDescent="0.25">
      <c r="A5" t="s">
        <v>83</v>
      </c>
      <c r="B5" t="s">
        <v>29</v>
      </c>
      <c r="C5" s="16">
        <f>SUM(D20:O20)</f>
      </c>
      <c r="D5" s="16">
        <f>SUM(P20:AA20)</f>
      </c>
      <c r="E5" s="16">
        <f>SUM(AB20:AM20)</f>
      </c>
    </row>
    <row r="6" spans="1:5" x14ac:dyDescent="0.25">
      <c r="A6" t="s">
        <v>98</v>
      </c>
      <c r="B6" t="s">
        <v>29</v>
      </c>
      <c r="C6" s="16">
        <f>SUM(D21:O21)</f>
      </c>
      <c r="D6" s="16">
        <f>SUM(P21:AA21)</f>
      </c>
      <c r="E6" s="16">
        <f>SUM(AB21:AM21)</f>
      </c>
    </row>
    <row r="7" spans="1:5" x14ac:dyDescent="0.25">
      <c r="A7" t="s">
        <v>99</v>
      </c>
      <c r="B7" t="s">
        <v>29</v>
      </c>
      <c r="C7" s="16">
        <f>SUM(D22:O22)</f>
      </c>
      <c r="D7" s="16">
        <f>SUM(P22:AA22)</f>
      </c>
      <c r="E7" s="16">
        <f>SUM(AB22:AM22)</f>
      </c>
    </row>
    <row r="8" spans="1:5" x14ac:dyDescent="0.25">
      <c r="A8" t="s">
        <v>100</v>
      </c>
      <c r="B8" t="s">
        <v>29</v>
      </c>
      <c r="C8" s="16">
        <f>SUM(D24:O24)</f>
      </c>
      <c r="D8" s="16">
        <f>SUM(P24:AA24)</f>
      </c>
      <c r="E8" s="16">
        <f>SUM(AB24:AM24)</f>
      </c>
    </row>
    <row r="9" spans="1:5" x14ac:dyDescent="0.25">
      <c r="A9" t="s">
        <v>101</v>
      </c>
      <c r="B9" t="s">
        <v>29</v>
      </c>
      <c r="C9" s="16">
        <f>SUM(D25:O25)</f>
      </c>
      <c r="D9" s="16">
        <f>SUM(P25:AA25)</f>
      </c>
      <c r="E9" s="16">
        <f>SUM(AB25:AM25)</f>
      </c>
    </row>
    <row r="10" spans="1:5" x14ac:dyDescent="0.25">
      <c r="A10" t="s">
        <v>102</v>
      </c>
      <c r="B10" t="s">
        <v>29</v>
      </c>
      <c r="C10" s="16">
        <f>SUM(D26:O26)</f>
      </c>
      <c r="D10" s="16">
        <f>SUM(P26:AA26)</f>
      </c>
      <c r="E10" s="16">
        <f>SUM(AB26:AM26)</f>
      </c>
    </row>
    <row r="11" spans="1:5" x14ac:dyDescent="0.25">
      <c r="A11" t="s">
        <v>103</v>
      </c>
      <c r="B11" t="s">
        <v>39</v>
      </c>
      <c r="C11" s="19">
        <f>IFERROR(C7/C5,0)</f>
      </c>
      <c r="D11" s="19">
        <f>IFERROR(D7/D5,0)</f>
      </c>
      <c r="E11" s="19">
        <f>IFERROR(E7/E5,0)</f>
      </c>
    </row>
    <row r="13" spans="1:5" x14ac:dyDescent="0.25">
      <c r="A13" s="12" t="s">
        <v>104</v>
      </c>
      <c r="B13" s="12" t="s">
        <v>22</v>
      </c>
      <c r="C13" s="12" t="s">
        <v>23</v>
      </c>
      <c r="D13" s="12" t="s">
        <v>18</v>
      </c>
      <c r="E13" s="12" t="s">
        <v>24</v>
      </c>
    </row>
    <row r="14" spans="1:5" x14ac:dyDescent="0.25">
      <c r="A14" t="s">
        <v>105</v>
      </c>
      <c r="B14" t="s">
        <v>29</v>
      </c>
      <c r="C14" s="16">
        <f>'Кіріс'!C25</f>
      </c>
      <c r="D14" s="16">
        <f>'Кіріс'!C37</f>
      </c>
      <c r="E14" s="16">
        <f>'Кіріс'!C49</f>
      </c>
    </row>
    <row r="15" spans="1:5" x14ac:dyDescent="0.25">
      <c r="A15" t="s">
        <v>106</v>
      </c>
      <c r="B15" t="s">
        <v>34</v>
      </c>
      <c r="C15" s="16">
        <f>'Кіріс'!C22</f>
      </c>
      <c r="D15" s="16">
        <f>'Кіріс'!C34</f>
      </c>
      <c r="E15" s="16">
        <f>'Кіріс'!C46</f>
      </c>
    </row>
    <row r="16" spans="1:5" x14ac:dyDescent="0.25">
      <c r="A16" t="s">
        <v>107</v>
      </c>
      <c r="B16" t="s">
        <v>29</v>
      </c>
      <c r="C16" s="16">
        <f>'Кіріс'!C26</f>
      </c>
      <c r="D16" s="16">
        <f>'Кіріс'!C38</f>
      </c>
      <c r="E16" s="16">
        <f>'Кіріс'!C50</f>
      </c>
    </row>
    <row r="19" spans="1:39" x14ac:dyDescent="0.25">
      <c r="A19" s="12" t="s">
        <v>108</v>
      </c>
      <c r="B19" s="12" t="s">
        <v>22</v>
      </c>
      <c r="C19" s="12" t="s">
        <v>64</v>
      </c>
      <c r="D19" s="24">
        <v>1</v>
      </c>
      <c r="E19" s="24">
        <f>D19+1</f>
      </c>
      <c r="F19" s="24">
        <f>E19+1</f>
      </c>
      <c r="G19" s="24">
        <f>F19+1</f>
      </c>
      <c r="H19" s="24">
        <f>G19+1</f>
      </c>
      <c r="I19" s="24">
        <f>H19+1</f>
      </c>
      <c r="J19" s="24">
        <f>I19+1</f>
      </c>
      <c r="K19" s="24">
        <f>J19+1</f>
      </c>
      <c r="L19" s="24">
        <f>K19+1</f>
      </c>
      <c r="M19" s="24">
        <f>L19+1</f>
      </c>
      <c r="N19" s="24">
        <f>M19+1</f>
      </c>
      <c r="O19" s="24">
        <f>N19+1</f>
      </c>
      <c r="P19" s="24">
        <f>O19+1</f>
      </c>
      <c r="Q19" s="24">
        <f>P19+1</f>
      </c>
      <c r="R19" s="24">
        <f>Q19+1</f>
      </c>
      <c r="S19" s="24">
        <f>R19+1</f>
      </c>
      <c r="T19" s="24">
        <f>S19+1</f>
      </c>
      <c r="U19" s="24">
        <f>T19+1</f>
      </c>
      <c r="V19" s="24">
        <f>U19+1</f>
      </c>
      <c r="W19" s="24">
        <f>V19+1</f>
      </c>
      <c r="X19" s="24">
        <f>W19+1</f>
      </c>
      <c r="Y19" s="24">
        <f>X19+1</f>
      </c>
      <c r="Z19" s="24">
        <f>Y19+1</f>
      </c>
      <c r="AA19" s="24">
        <f>Z19+1</f>
      </c>
      <c r="AB19" s="24">
        <f>AA19+1</f>
      </c>
      <c r="AC19" s="24">
        <f>AB19+1</f>
      </c>
      <c r="AD19" s="24">
        <f>AC19+1</f>
      </c>
      <c r="AE19" s="24">
        <f>AD19+1</f>
      </c>
      <c r="AF19" s="24">
        <f>AE19+1</f>
      </c>
      <c r="AG19" s="24">
        <f>AF19+1</f>
      </c>
      <c r="AH19" s="24">
        <f>AG19+1</f>
      </c>
      <c r="AI19" s="24">
        <f>AH19+1</f>
      </c>
      <c r="AJ19" s="24">
        <f>AI19+1</f>
      </c>
      <c r="AK19" s="24">
        <f>AJ19+1</f>
      </c>
      <c r="AL19" s="24">
        <f>AK19+1</f>
      </c>
      <c r="AM19" s="24">
        <f>AL19+1</f>
      </c>
    </row>
    <row r="20" spans="1:39" x14ac:dyDescent="0.25">
      <c r="A20" s="26" t="s">
        <v>83</v>
      </c>
      <c r="B20" t="s">
        <v>29</v>
      </c>
      <c r="C20" s="16">
        <f>SUM(D20:AM20)</f>
      </c>
      <c r="D20" s="16">
        <f>'Шығын'!D6</f>
      </c>
      <c r="E20" s="16">
        <f>'Шығын'!E6</f>
      </c>
      <c r="F20" s="16">
        <f>'Шығын'!F6</f>
      </c>
      <c r="G20" s="16">
        <f>'Шығын'!G6</f>
      </c>
      <c r="H20" s="16">
        <f>'Шығын'!H6</f>
      </c>
      <c r="I20" s="16">
        <f>'Шығын'!I6</f>
      </c>
      <c r="J20" s="16">
        <f>'Шығын'!J6</f>
      </c>
      <c r="K20" s="16">
        <f>'Шығын'!K6</f>
      </c>
      <c r="L20" s="16">
        <f>'Шығын'!L6</f>
      </c>
      <c r="M20" s="16">
        <f>'Шығын'!M6</f>
      </c>
      <c r="N20" s="16">
        <f>'Шығын'!N6</f>
      </c>
      <c r="O20" s="16">
        <f>'Шығын'!O6</f>
      </c>
      <c r="P20" s="16">
        <f>'Шығын'!P6</f>
      </c>
      <c r="Q20" s="16">
        <f>'Шығын'!Q6</f>
      </c>
      <c r="R20" s="16">
        <f>'Шығын'!R6</f>
      </c>
      <c r="S20" s="16">
        <f>'Шығын'!S6</f>
      </c>
      <c r="T20" s="16">
        <f>'Шығын'!T6</f>
      </c>
      <c r="U20" s="16">
        <f>'Шығын'!U6</f>
      </c>
      <c r="V20" s="16">
        <f>'Шығын'!V6</f>
      </c>
      <c r="W20" s="16">
        <f>'Шығын'!W6</f>
      </c>
      <c r="X20" s="16">
        <f>'Шығын'!X6</f>
      </c>
      <c r="Y20" s="16">
        <f>'Шығын'!Y6</f>
      </c>
      <c r="Z20" s="16">
        <f>'Шығын'!Z6</f>
      </c>
      <c r="AA20" s="16">
        <f>'Шығын'!AA6</f>
      </c>
      <c r="AB20" s="16">
        <f>'Шығын'!AB6</f>
      </c>
      <c r="AC20" s="16">
        <f>'Шығын'!AC6</f>
      </c>
      <c r="AD20" s="16">
        <f>'Шығын'!AD6</f>
      </c>
      <c r="AE20" s="16">
        <f>'Шығын'!AE6</f>
      </c>
      <c r="AF20" s="16">
        <f>'Шығын'!AF6</f>
      </c>
      <c r="AG20" s="16">
        <f>'Шығын'!AG6</f>
      </c>
      <c r="AH20" s="16">
        <f>'Шығын'!AH6</f>
      </c>
      <c r="AI20" s="16">
        <f>'Шығын'!AI6</f>
      </c>
      <c r="AJ20" s="16">
        <f>'Шығын'!AJ6</f>
      </c>
      <c r="AK20" s="16">
        <f>'Шығын'!AK6</f>
      </c>
      <c r="AL20" s="16">
        <f>'Шығын'!AL6</f>
      </c>
      <c r="AM20" s="16">
        <f>'Шығын'!AM6</f>
      </c>
    </row>
    <row r="21" spans="1:39" x14ac:dyDescent="0.25">
      <c r="A21" s="26" t="s">
        <v>109</v>
      </c>
      <c r="B21" t="s">
        <v>29</v>
      </c>
      <c r="C21" s="16">
        <f>SUM(D21:AM21)</f>
      </c>
      <c r="D21" s="16">
        <f>'Шығын'!D7+'Шығын'!D8+'Шығын'!D9</f>
      </c>
      <c r="E21" s="16">
        <f>'Шығын'!E7+'Шығын'!E8+'Шығын'!E9</f>
      </c>
      <c r="F21" s="16">
        <f>'Шығын'!F7+'Шығын'!F8+'Шығын'!F9</f>
      </c>
      <c r="G21" s="16">
        <f>'Шығын'!G7+'Шығын'!G8+'Шығын'!G9</f>
      </c>
      <c r="H21" s="16">
        <f>'Шығын'!H7+'Шығын'!H8+'Шығын'!H9</f>
      </c>
      <c r="I21" s="16">
        <f>'Шығын'!I7+'Шығын'!I8+'Шығын'!I9</f>
      </c>
      <c r="J21" s="16">
        <f>'Шығын'!J7+'Шығын'!J8+'Шығын'!J9</f>
      </c>
      <c r="K21" s="16">
        <f>'Шығын'!K7+'Шығын'!K8+'Шығын'!K9</f>
      </c>
      <c r="L21" s="16">
        <f>'Шығын'!L7+'Шығын'!L8+'Шығын'!L9</f>
      </c>
      <c r="M21" s="16">
        <f>'Шығын'!M7+'Шығын'!M8+'Шығын'!M9</f>
      </c>
      <c r="N21" s="16">
        <f>'Шығын'!N7+'Шығын'!N8+'Шығын'!N9</f>
      </c>
      <c r="O21" s="16">
        <f>'Шығын'!O7+'Шығын'!O8+'Шығын'!O9</f>
      </c>
      <c r="P21" s="16">
        <f>'Шығын'!P7+'Шығын'!P8+'Шығын'!P9</f>
      </c>
      <c r="Q21" s="16">
        <f>'Шығын'!Q7+'Шығын'!Q8+'Шығын'!Q9</f>
      </c>
      <c r="R21" s="16">
        <f>'Шығын'!R7+'Шығын'!R8+'Шығын'!R9</f>
      </c>
      <c r="S21" s="16">
        <f>'Шығын'!S7+'Шығын'!S8+'Шығын'!S9</f>
      </c>
      <c r="T21" s="16">
        <f>'Шығын'!T7+'Шығын'!T8+'Шығын'!T9</f>
      </c>
      <c r="U21" s="16">
        <f>'Шығын'!U7+'Шығын'!U8+'Шығын'!U9</f>
      </c>
      <c r="V21" s="16">
        <f>'Шығын'!V7+'Шығын'!V8+'Шығын'!V9</f>
      </c>
      <c r="W21" s="16">
        <f>'Шығын'!W7+'Шығын'!W8+'Шығын'!W9</f>
      </c>
      <c r="X21" s="16">
        <f>'Шығын'!X7+'Шығын'!X8+'Шығын'!X9</f>
      </c>
      <c r="Y21" s="16">
        <f>'Шығын'!Y7+'Шығын'!Y8+'Шығын'!Y9</f>
      </c>
      <c r="Z21" s="16">
        <f>'Шығын'!Z7+'Шығын'!Z8+'Шығын'!Z9</f>
      </c>
      <c r="AA21" s="16">
        <f>'Шығын'!AA7+'Шығын'!AA8+'Шығын'!AA9</f>
      </c>
      <c r="AB21" s="16">
        <f>'Шығын'!AB7+'Шығын'!AB8+'Шығын'!AB9</f>
      </c>
      <c r="AC21" s="16">
        <f>'Шығын'!AC7+'Шығын'!AC8+'Шығын'!AC9</f>
      </c>
      <c r="AD21" s="16">
        <f>'Шығын'!AD7+'Шығын'!AD8+'Шығын'!AD9</f>
      </c>
      <c r="AE21" s="16">
        <f>'Шығын'!AE7+'Шығын'!AE8+'Шығын'!AE9</f>
      </c>
      <c r="AF21" s="16">
        <f>'Шығын'!AF7+'Шығын'!AF8+'Шығын'!AF9</f>
      </c>
      <c r="AG21" s="16">
        <f>'Шығын'!AG7+'Шығын'!AG8+'Шығын'!AG9</f>
      </c>
      <c r="AH21" s="16">
        <f>'Шығын'!AH7+'Шығын'!AH8+'Шығын'!AH9</f>
      </c>
      <c r="AI21" s="16">
        <f>'Шығын'!AI7+'Шығын'!AI8+'Шығын'!AI9</f>
      </c>
      <c r="AJ21" s="16">
        <f>'Шығын'!AJ7+'Шығын'!AJ8+'Шығын'!AJ9</f>
      </c>
      <c r="AK21" s="16">
        <f>'Шығын'!AK7+'Шығын'!AK8+'Шығын'!AK9</f>
      </c>
      <c r="AL21" s="16">
        <f>'Шығын'!AL7+'Шығын'!AL8+'Шығын'!AL9</f>
      </c>
      <c r="AM21" s="16">
        <f>'Шығын'!AM7+'Шығын'!AM8+'Шығын'!AM9</f>
      </c>
    </row>
    <row r="22" spans="1:39" x14ac:dyDescent="0.25">
      <c r="A22" s="26" t="s">
        <v>99</v>
      </c>
      <c r="B22" t="s">
        <v>29</v>
      </c>
      <c r="C22" s="16">
        <f>SUM(D22:AM22)</f>
      </c>
      <c r="D22" s="16">
        <f>D20-D21</f>
      </c>
      <c r="E22" s="16">
        <f>E20-E21</f>
      </c>
      <c r="F22" s="16">
        <f>F20-F21</f>
      </c>
      <c r="G22" s="16">
        <f>G20-G21</f>
      </c>
      <c r="H22" s="16">
        <f>H20-H21</f>
      </c>
      <c r="I22" s="16">
        <f>I20-I21</f>
      </c>
      <c r="J22" s="16">
        <f>J20-J21</f>
      </c>
      <c r="K22" s="16">
        <f>K20-K21</f>
      </c>
      <c r="L22" s="16">
        <f>L20-L21</f>
      </c>
      <c r="M22" s="16">
        <f>M20-M21</f>
      </c>
      <c r="N22" s="16">
        <f>N20-N21</f>
      </c>
      <c r="O22" s="16">
        <f>O20-O21</f>
      </c>
      <c r="P22" s="16">
        <f>P20-P21</f>
      </c>
      <c r="Q22" s="16">
        <f>Q20-Q21</f>
      </c>
      <c r="R22" s="16">
        <f>R20-R21</f>
      </c>
      <c r="S22" s="16">
        <f>S20-S21</f>
      </c>
      <c r="T22" s="16">
        <f>T20-T21</f>
      </c>
      <c r="U22" s="16">
        <f>U20-U21</f>
      </c>
      <c r="V22" s="16">
        <f>V20-V21</f>
      </c>
      <c r="W22" s="16">
        <f>W20-W21</f>
      </c>
      <c r="X22" s="16">
        <f>X20-X21</f>
      </c>
      <c r="Y22" s="16">
        <f>Y20-Y21</f>
      </c>
      <c r="Z22" s="16">
        <f>Z20-Z21</f>
      </c>
      <c r="AA22" s="16">
        <f>AA20-AA21</f>
      </c>
      <c r="AB22" s="16">
        <f>AB20-AB21</f>
      </c>
      <c r="AC22" s="16">
        <f>AC20-AC21</f>
      </c>
      <c r="AD22" s="16">
        <f>AD20-AD21</f>
      </c>
      <c r="AE22" s="16">
        <f>AE20-AE21</f>
      </c>
      <c r="AF22" s="16">
        <f>AF20-AF21</f>
      </c>
      <c r="AG22" s="16">
        <f>AG20-AG21</f>
      </c>
      <c r="AH22" s="16">
        <f>AH20-AH21</f>
      </c>
      <c r="AI22" s="16">
        <f>AI20-AI21</f>
      </c>
      <c r="AJ22" s="16">
        <f>AJ20-AJ21</f>
      </c>
      <c r="AK22" s="16">
        <f>AK20-AK21</f>
      </c>
      <c r="AL22" s="16">
        <f>AL20-AL21</f>
      </c>
      <c r="AM22" s="16">
        <f>AM20-AM21</f>
      </c>
    </row>
    <row r="23" spans="1:39" x14ac:dyDescent="0.25">
      <c r="A23" s="26" t="s">
        <v>103</v>
      </c>
      <c r="B23" t="s">
        <v>39</v>
      </c>
      <c r="C23" s="19">
        <f>IFERROR(C22/C20,0)</f>
      </c>
      <c r="D23" s="19">
        <f>IFERROR(D22/D20,0)</f>
      </c>
      <c r="E23" s="19">
        <f>IFERROR(E22/E20,0)</f>
      </c>
      <c r="F23" s="19">
        <f>IFERROR(F22/F20,0)</f>
      </c>
      <c r="G23" s="19">
        <f>IFERROR(G22/G20,0)</f>
      </c>
      <c r="H23" s="19">
        <f>IFERROR(H22/H20,0)</f>
      </c>
      <c r="I23" s="19">
        <f>IFERROR(I22/I20,0)</f>
      </c>
      <c r="J23" s="19">
        <f>IFERROR(J22/J20,0)</f>
      </c>
      <c r="K23" s="19">
        <f>IFERROR(K22/K20,0)</f>
      </c>
      <c r="L23" s="19">
        <f>IFERROR(L22/L20,0)</f>
      </c>
      <c r="M23" s="19">
        <f>IFERROR(M22/M20,0)</f>
      </c>
      <c r="N23" s="19">
        <f>IFERROR(N22/N20,0)</f>
      </c>
      <c r="O23" s="19">
        <f>IFERROR(O22/O20,0)</f>
      </c>
      <c r="P23" s="19">
        <f>IFERROR(P22/P20,0)</f>
      </c>
      <c r="Q23" s="19">
        <f>IFERROR(Q22/Q20,0)</f>
      </c>
      <c r="R23" s="19">
        <f>IFERROR(R22/R20,0)</f>
      </c>
      <c r="S23" s="19">
        <f>IFERROR(S22/S20,0)</f>
      </c>
      <c r="T23" s="19">
        <f>IFERROR(T22/T20,0)</f>
      </c>
      <c r="U23" s="19">
        <f>IFERROR(U22/U20,0)</f>
      </c>
      <c r="V23" s="19">
        <f>IFERROR(V22/V20,0)</f>
      </c>
      <c r="W23" s="19">
        <f>IFERROR(W22/W20,0)</f>
      </c>
      <c r="X23" s="19">
        <f>IFERROR(X22/X20,0)</f>
      </c>
      <c r="Y23" s="19">
        <f>IFERROR(Y22/Y20,0)</f>
      </c>
      <c r="Z23" s="19">
        <f>IFERROR(Z22/Z20,0)</f>
      </c>
      <c r="AA23" s="19">
        <f>IFERROR(AA22/AA20,0)</f>
      </c>
      <c r="AB23" s="19">
        <f>IFERROR(AB22/AB20,0)</f>
      </c>
      <c r="AC23" s="19">
        <f>IFERROR(AC22/AC20,0)</f>
      </c>
      <c r="AD23" s="19">
        <f>IFERROR(AD22/AD20,0)</f>
      </c>
      <c r="AE23" s="19">
        <f>IFERROR(AE22/AE20,0)</f>
      </c>
      <c r="AF23" s="19">
        <f>IFERROR(AF22/AF20,0)</f>
      </c>
      <c r="AG23" s="19">
        <f>IFERROR(AG22/AG20,0)</f>
      </c>
      <c r="AH23" s="19">
        <f>IFERROR(AH22/AH20,0)</f>
      </c>
      <c r="AI23" s="19">
        <f>IFERROR(AI22/AI20,0)</f>
      </c>
      <c r="AJ23" s="19">
        <f>IFERROR(AJ22/AJ20,0)</f>
      </c>
      <c r="AK23" s="19">
        <f>IFERROR(AK22/AK20,0)</f>
      </c>
      <c r="AL23" s="19">
        <f>IFERROR(AL22/AL20,0)</f>
      </c>
      <c r="AM23" s="19">
        <f>IFERROR(AM22/AM20,0)</f>
      </c>
    </row>
    <row r="24" spans="1:39" x14ac:dyDescent="0.25">
      <c r="A24" s="26" t="s">
        <v>110</v>
      </c>
      <c r="B24" t="s">
        <v>29</v>
      </c>
      <c r="C24" s="16">
        <f>SUM(D24:AM24)</f>
      </c>
      <c r="D24" s="16">
        <f>'Шығын'!D10+'Шығын'!D11+'Шығын'!D12</f>
      </c>
      <c r="E24" s="16">
        <f>'Шығын'!E10+'Шығын'!E11+'Шығын'!E12</f>
      </c>
      <c r="F24" s="16">
        <f>'Шығын'!F10+'Шығын'!F11+'Шығын'!F12</f>
      </c>
      <c r="G24" s="16">
        <f>'Шығын'!G10+'Шығын'!G11+'Шығын'!G12</f>
      </c>
      <c r="H24" s="16">
        <f>'Шығын'!H10+'Шығын'!H11+'Шығын'!H12</f>
      </c>
      <c r="I24" s="16">
        <f>'Шығын'!I10+'Шығын'!I11+'Шығын'!I12</f>
      </c>
      <c r="J24" s="16">
        <f>'Шығын'!J10+'Шығын'!J11+'Шығын'!J12</f>
      </c>
      <c r="K24" s="16">
        <f>'Шығын'!K10+'Шығын'!K11+'Шығын'!K12</f>
      </c>
      <c r="L24" s="16">
        <f>'Шығын'!L10+'Шығын'!L11+'Шығын'!L12</f>
      </c>
      <c r="M24" s="16">
        <f>'Шығын'!M10+'Шығын'!M11+'Шығын'!M12</f>
      </c>
      <c r="N24" s="16">
        <f>'Шығын'!N10+'Шығын'!N11+'Шығын'!N12</f>
      </c>
      <c r="O24" s="16">
        <f>'Шығын'!O10+'Шығын'!O11+'Шығын'!O12</f>
      </c>
      <c r="P24" s="16">
        <f>'Шығын'!P10+'Шығын'!P11+'Шығын'!P12</f>
      </c>
      <c r="Q24" s="16">
        <f>'Шығын'!Q10+'Шығын'!Q11+'Шығын'!Q12</f>
      </c>
      <c r="R24" s="16">
        <f>'Шығын'!R10+'Шығын'!R11+'Шығын'!R12</f>
      </c>
      <c r="S24" s="16">
        <f>'Шығын'!S10+'Шығын'!S11+'Шығын'!S12</f>
      </c>
      <c r="T24" s="16">
        <f>'Шығын'!T10+'Шығын'!T11+'Шығын'!T12</f>
      </c>
      <c r="U24" s="16">
        <f>'Шығын'!U10+'Шығын'!U11+'Шығын'!U12</f>
      </c>
      <c r="V24" s="16">
        <f>'Шығын'!V10+'Шығын'!V11+'Шығын'!V12</f>
      </c>
      <c r="W24" s="16">
        <f>'Шығын'!W10+'Шығын'!W11+'Шығын'!W12</f>
      </c>
      <c r="X24" s="16">
        <f>'Шығын'!X10+'Шығын'!X11+'Шығын'!X12</f>
      </c>
      <c r="Y24" s="16">
        <f>'Шығын'!Y10+'Шығын'!Y11+'Шығын'!Y12</f>
      </c>
      <c r="Z24" s="16">
        <f>'Шығын'!Z10+'Шығын'!Z11+'Шығын'!Z12</f>
      </c>
      <c r="AA24" s="16">
        <f>'Шығын'!AA10+'Шығын'!AA11+'Шығын'!AA12</f>
      </c>
      <c r="AB24" s="16">
        <f>'Шығын'!AB10+'Шығын'!AB11+'Шығын'!AB12</f>
      </c>
      <c r="AC24" s="16">
        <f>'Шығын'!AC10+'Шығын'!AC11+'Шығын'!AC12</f>
      </c>
      <c r="AD24" s="16">
        <f>'Шығын'!AD10+'Шығын'!AD11+'Шығын'!AD12</f>
      </c>
      <c r="AE24" s="16">
        <f>'Шығын'!AE10+'Шығын'!AE11+'Шығын'!AE12</f>
      </c>
      <c r="AF24" s="16">
        <f>'Шығын'!AF10+'Шығын'!AF11+'Шығын'!AF12</f>
      </c>
      <c r="AG24" s="16">
        <f>'Шығын'!AG10+'Шығын'!AG11+'Шығын'!AG12</f>
      </c>
      <c r="AH24" s="16">
        <f>'Шығын'!AH10+'Шығын'!AH11+'Шығын'!AH12</f>
      </c>
      <c r="AI24" s="16">
        <f>'Шығын'!AI10+'Шығын'!AI11+'Шығын'!AI12</f>
      </c>
      <c r="AJ24" s="16">
        <f>'Шығын'!AJ10+'Шығын'!AJ11+'Шығын'!AJ12</f>
      </c>
      <c r="AK24" s="16">
        <f>'Шығын'!AK10+'Шығын'!AK11+'Шығын'!AK12</f>
      </c>
      <c r="AL24" s="16">
        <f>'Шығын'!AL10+'Шығын'!AL11+'Шығын'!AL12</f>
      </c>
      <c r="AM24" s="16">
        <f>'Шығын'!AM10+'Шығын'!AM11+'Шығын'!AM12</f>
      </c>
    </row>
    <row r="25" spans="1:39" x14ac:dyDescent="0.25">
      <c r="A25" s="26" t="s">
        <v>101</v>
      </c>
      <c r="B25" t="s">
        <v>29</v>
      </c>
      <c r="C25" s="16">
        <f>SUM(D25:AM25)</f>
      </c>
      <c r="D25" s="16">
        <f>'Шығын'!D13</f>
      </c>
      <c r="E25" s="16">
        <f>'Шығын'!E13</f>
      </c>
      <c r="F25" s="16">
        <f>'Шығын'!F13</f>
      </c>
      <c r="G25" s="16">
        <f>'Шығын'!G13</f>
      </c>
      <c r="H25" s="16">
        <f>'Шығын'!H13</f>
      </c>
      <c r="I25" s="16">
        <f>'Шығын'!I13</f>
      </c>
      <c r="J25" s="16">
        <f>'Шығын'!J13</f>
      </c>
      <c r="K25" s="16">
        <f>'Шығын'!K13</f>
      </c>
      <c r="L25" s="16">
        <f>'Шығын'!L13</f>
      </c>
      <c r="M25" s="16">
        <f>'Шығын'!M13</f>
      </c>
      <c r="N25" s="16">
        <f>'Шығын'!N13</f>
      </c>
      <c r="O25" s="16">
        <f>'Шығын'!O13</f>
      </c>
      <c r="P25" s="16">
        <f>'Шығын'!P13</f>
      </c>
      <c r="Q25" s="16">
        <f>'Шығын'!Q13</f>
      </c>
      <c r="R25" s="16">
        <f>'Шығын'!R13</f>
      </c>
      <c r="S25" s="16">
        <f>'Шығын'!S13</f>
      </c>
      <c r="T25" s="16">
        <f>'Шығын'!T13</f>
      </c>
      <c r="U25" s="16">
        <f>'Шығын'!U13</f>
      </c>
      <c r="V25" s="16">
        <f>'Шығын'!V13</f>
      </c>
      <c r="W25" s="16">
        <f>'Шығын'!W13</f>
      </c>
      <c r="X25" s="16">
        <f>'Шығын'!X13</f>
      </c>
      <c r="Y25" s="16">
        <f>'Шығын'!Y13</f>
      </c>
      <c r="Z25" s="16">
        <f>'Шығын'!Z13</f>
      </c>
      <c r="AA25" s="16">
        <f>'Шығын'!AA13</f>
      </c>
      <c r="AB25" s="16">
        <f>'Шығын'!AB13</f>
      </c>
      <c r="AC25" s="16">
        <f>'Шығын'!AC13</f>
      </c>
      <c r="AD25" s="16">
        <f>'Шығын'!AD13</f>
      </c>
      <c r="AE25" s="16">
        <f>'Шығын'!AE13</f>
      </c>
      <c r="AF25" s="16">
        <f>'Шығын'!AF13</f>
      </c>
      <c r="AG25" s="16">
        <f>'Шығын'!AG13</f>
      </c>
      <c r="AH25" s="16">
        <f>'Шығын'!AH13</f>
      </c>
      <c r="AI25" s="16">
        <f>'Шығын'!AI13</f>
      </c>
      <c r="AJ25" s="16">
        <f>'Шығын'!AJ13</f>
      </c>
      <c r="AK25" s="16">
        <f>'Шығын'!AK13</f>
      </c>
      <c r="AL25" s="16">
        <f>'Шығын'!AL13</f>
      </c>
      <c r="AM25" s="16">
        <f>'Шығын'!AM13</f>
      </c>
    </row>
    <row r="26" spans="1:39" x14ac:dyDescent="0.25">
      <c r="A26" s="7" t="s">
        <v>111</v>
      </c>
      <c r="B26" s="7" t="s">
        <v>29</v>
      </c>
      <c r="C26" s="27">
        <f>SUM(D26:AM26)</f>
      </c>
      <c r="D26" s="27">
        <f>D22-D24-D25</f>
      </c>
      <c r="E26" s="27">
        <f>E22-E24-E25</f>
      </c>
      <c r="F26" s="27">
        <f>F22-F24-F25</f>
      </c>
      <c r="G26" s="27">
        <f>G22-G24-G25</f>
      </c>
      <c r="H26" s="27">
        <f>H22-H24-H25</f>
      </c>
      <c r="I26" s="27">
        <f>I22-I24-I25</f>
      </c>
      <c r="J26" s="27">
        <f>J22-J24-J25</f>
      </c>
      <c r="K26" s="27">
        <f>K22-K24-K25</f>
      </c>
      <c r="L26" s="27">
        <f>L22-L24-L25</f>
      </c>
      <c r="M26" s="27">
        <f>M22-M24-M25</f>
      </c>
      <c r="N26" s="27">
        <f>N22-N24-N25</f>
      </c>
      <c r="O26" s="27">
        <f>O22-O24-O25</f>
      </c>
      <c r="P26" s="27">
        <f>P22-P24-P25</f>
      </c>
      <c r="Q26" s="27">
        <f>Q22-Q24-Q25</f>
      </c>
      <c r="R26" s="27">
        <f>R22-R24-R25</f>
      </c>
      <c r="S26" s="27">
        <f>S22-S24-S25</f>
      </c>
      <c r="T26" s="27">
        <f>T22-T24-T25</f>
      </c>
      <c r="U26" s="27">
        <f>U22-U24-U25</f>
      </c>
      <c r="V26" s="27">
        <f>V22-V24-V25</f>
      </c>
      <c r="W26" s="27">
        <f>W22-W24-W25</f>
      </c>
      <c r="X26" s="27">
        <f>X22-X24-X25</f>
      </c>
      <c r="Y26" s="27">
        <f>Y22-Y24-Y25</f>
      </c>
      <c r="Z26" s="27">
        <f>Z22-Z24-Z25</f>
      </c>
      <c r="AA26" s="27">
        <f>AA22-AA24-AA25</f>
      </c>
      <c r="AB26" s="27">
        <f>AB22-AB24-AB25</f>
      </c>
      <c r="AC26" s="27">
        <f>AC22-AC24-AC25</f>
      </c>
      <c r="AD26" s="27">
        <f>AD22-AD24-AD25</f>
      </c>
      <c r="AE26" s="27">
        <f>AE22-AE24-AE25</f>
      </c>
      <c r="AF26" s="27">
        <f>AF22-AF24-AF25</f>
      </c>
      <c r="AG26" s="27">
        <f>AG22-AG24-AG25</f>
      </c>
      <c r="AH26" s="27">
        <f>AH22-AH24-AH25</f>
      </c>
      <c r="AI26" s="27">
        <f>AI22-AI24-AI25</f>
      </c>
      <c r="AJ26" s="27">
        <f>AJ22-AJ24-AJ25</f>
      </c>
      <c r="AK26" s="27">
        <f>AK22-AK24-AK25</f>
      </c>
      <c r="AL26" s="27">
        <f>AL22-AL24-AL25</f>
      </c>
      <c r="AM26" s="27">
        <f>AM22-AM24-AM25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M18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2" width="10" customWidth="1"/>
    <col min="3" max="3" width="16" customWidth="1"/>
    <col min="4" max="39" width="12" customWidth="1"/>
  </cols>
  <sheetData>
    <row r="1" spans="1:1" x14ac:dyDescent="0.25">
      <c r="A1" s="6" t="s">
        <v>112</v>
      </c>
    </row>
    <row r="2" spans="1:1" x14ac:dyDescent="0.25">
      <c r="A2" s="11" t="s">
        <v>113</v>
      </c>
    </row>
    <row r="4" spans="1:39" x14ac:dyDescent="0.25">
      <c r="A4" s="12" t="s">
        <v>63</v>
      </c>
      <c r="B4" s="12" t="s">
        <v>22</v>
      </c>
      <c r="C4" s="12" t="s">
        <v>64</v>
      </c>
      <c r="D4" s="24">
        <v>1</v>
      </c>
      <c r="E4" s="24">
        <f>D4+1</f>
      </c>
      <c r="F4" s="24">
        <f>E4+1</f>
      </c>
      <c r="G4" s="24">
        <f>F4+1</f>
      </c>
      <c r="H4" s="24">
        <f>G4+1</f>
      </c>
      <c r="I4" s="24">
        <f>H4+1</f>
      </c>
      <c r="J4" s="24">
        <f>I4+1</f>
      </c>
      <c r="K4" s="24">
        <f>J4+1</f>
      </c>
      <c r="L4" s="24">
        <f>K4+1</f>
      </c>
      <c r="M4" s="24">
        <f>L4+1</f>
      </c>
      <c r="N4" s="24">
        <f>M4+1</f>
      </c>
      <c r="O4" s="24">
        <f>N4+1</f>
      </c>
      <c r="P4" s="24">
        <f>O4+1</f>
      </c>
      <c r="Q4" s="24">
        <f>P4+1</f>
      </c>
      <c r="R4" s="24">
        <f>Q4+1</f>
      </c>
      <c r="S4" s="24">
        <f>R4+1</f>
      </c>
      <c r="T4" s="24">
        <f>S4+1</f>
      </c>
      <c r="U4" s="24">
        <f>T4+1</f>
      </c>
      <c r="V4" s="24">
        <f>U4+1</f>
      </c>
      <c r="W4" s="24">
        <f>V4+1</f>
      </c>
      <c r="X4" s="24">
        <f>W4+1</f>
      </c>
      <c r="Y4" s="24">
        <f>X4+1</f>
      </c>
      <c r="Z4" s="24">
        <f>Y4+1</f>
      </c>
      <c r="AA4" s="24">
        <f>Z4+1</f>
      </c>
      <c r="AB4" s="24">
        <f>AA4+1</f>
      </c>
      <c r="AC4" s="24">
        <f>AB4+1</f>
      </c>
      <c r="AD4" s="24">
        <f>AC4+1</f>
      </c>
      <c r="AE4" s="24">
        <f>AD4+1</f>
      </c>
      <c r="AF4" s="24">
        <f>AE4+1</f>
      </c>
      <c r="AG4" s="24">
        <f>AF4+1</f>
      </c>
      <c r="AH4" s="24">
        <f>AG4+1</f>
      </c>
      <c r="AI4" s="24">
        <f>AH4+1</f>
      </c>
      <c r="AJ4" s="24">
        <f>AI4+1</f>
      </c>
      <c r="AK4" s="24">
        <f>AJ4+1</f>
      </c>
      <c r="AL4" s="24">
        <f>AK4+1</f>
      </c>
      <c r="AM4" s="24">
        <f>AL4+1</f>
      </c>
    </row>
    <row r="5" spans="1:39" x14ac:dyDescent="0.25">
      <c r="A5" s="26" t="s">
        <v>114</v>
      </c>
      <c r="B5" t="s">
        <v>29</v>
      </c>
      <c r="D5" s="16">
        <f>N('Болжамдар'!$F$27)</f>
      </c>
      <c r="E5" s="16">
        <f>D7</f>
      </c>
      <c r="F5" s="16">
        <f>E7</f>
      </c>
      <c r="G5" s="16">
        <f>F7</f>
      </c>
      <c r="H5" s="16">
        <f>G7</f>
      </c>
      <c r="I5" s="16">
        <f>H7</f>
      </c>
      <c r="J5" s="16">
        <f>I7</f>
      </c>
      <c r="K5" s="16">
        <f>J7</f>
      </c>
      <c r="L5" s="16">
        <f>K7</f>
      </c>
      <c r="M5" s="16">
        <f>L7</f>
      </c>
      <c r="N5" s="16">
        <f>M7</f>
      </c>
      <c r="O5" s="16">
        <f>N7</f>
      </c>
      <c r="P5" s="16">
        <f>O7</f>
      </c>
      <c r="Q5" s="16">
        <f>P7</f>
      </c>
      <c r="R5" s="16">
        <f>Q7</f>
      </c>
      <c r="S5" s="16">
        <f>R7</f>
      </c>
      <c r="T5" s="16">
        <f>S7</f>
      </c>
      <c r="U5" s="16">
        <f>T7</f>
      </c>
      <c r="V5" s="16">
        <f>U7</f>
      </c>
      <c r="W5" s="16">
        <f>V7</f>
      </c>
      <c r="X5" s="16">
        <f>W7</f>
      </c>
      <c r="Y5" s="16">
        <f>X7</f>
      </c>
      <c r="Z5" s="16">
        <f>Y7</f>
      </c>
      <c r="AA5" s="16">
        <f>Z7</f>
      </c>
      <c r="AB5" s="16">
        <f>AA7</f>
      </c>
      <c r="AC5" s="16">
        <f>AB7</f>
      </c>
      <c r="AD5" s="16">
        <f>AC7</f>
      </c>
      <c r="AE5" s="16">
        <f>AD7</f>
      </c>
      <c r="AF5" s="16">
        <f>AE7</f>
      </c>
      <c r="AG5" s="16">
        <f>AF7</f>
      </c>
      <c r="AH5" s="16">
        <f>AG7</f>
      </c>
      <c r="AI5" s="16">
        <f>AH7</f>
      </c>
      <c r="AJ5" s="16">
        <f>AI7</f>
      </c>
      <c r="AK5" s="16">
        <f>AJ7</f>
      </c>
      <c r="AL5" s="16">
        <f>AK7</f>
      </c>
      <c r="AM5" s="16">
        <f>AL7</f>
      </c>
    </row>
    <row r="6" spans="1:39" x14ac:dyDescent="0.25">
      <c r="A6" s="26" t="s">
        <v>115</v>
      </c>
      <c r="B6" t="s">
        <v>29</v>
      </c>
      <c r="C6" s="16">
        <f>SUM(D6:AM6)</f>
      </c>
      <c r="D6" s="16">
        <f>'P&amp;L'!D26</f>
      </c>
      <c r="E6" s="16">
        <f>'P&amp;L'!E26</f>
      </c>
      <c r="F6" s="16">
        <f>'P&amp;L'!F26</f>
      </c>
      <c r="G6" s="16">
        <f>'P&amp;L'!G26</f>
      </c>
      <c r="H6" s="16">
        <f>'P&amp;L'!H26</f>
      </c>
      <c r="I6" s="16">
        <f>'P&amp;L'!I26</f>
      </c>
      <c r="J6" s="16">
        <f>'P&amp;L'!J26</f>
      </c>
      <c r="K6" s="16">
        <f>'P&amp;L'!K26</f>
      </c>
      <c r="L6" s="16">
        <f>'P&amp;L'!L26</f>
      </c>
      <c r="M6" s="16">
        <f>'P&amp;L'!M26</f>
      </c>
      <c r="N6" s="16">
        <f>'P&amp;L'!N26</f>
      </c>
      <c r="O6" s="16">
        <f>'P&amp;L'!O26</f>
      </c>
      <c r="P6" s="16">
        <f>'P&amp;L'!P26</f>
      </c>
      <c r="Q6" s="16">
        <f>'P&amp;L'!Q26</f>
      </c>
      <c r="R6" s="16">
        <f>'P&amp;L'!R26</f>
      </c>
      <c r="S6" s="16">
        <f>'P&amp;L'!S26</f>
      </c>
      <c r="T6" s="16">
        <f>'P&amp;L'!T26</f>
      </c>
      <c r="U6" s="16">
        <f>'P&amp;L'!U26</f>
      </c>
      <c r="V6" s="16">
        <f>'P&amp;L'!V26</f>
      </c>
      <c r="W6" s="16">
        <f>'P&amp;L'!W26</f>
      </c>
      <c r="X6" s="16">
        <f>'P&amp;L'!X26</f>
      </c>
      <c r="Y6" s="16">
        <f>'P&amp;L'!Y26</f>
      </c>
      <c r="Z6" s="16">
        <f>'P&amp;L'!Z26</f>
      </c>
      <c r="AA6" s="16">
        <f>'P&amp;L'!AA26</f>
      </c>
      <c r="AB6" s="16">
        <f>'P&amp;L'!AB26</f>
      </c>
      <c r="AC6" s="16">
        <f>'P&amp;L'!AC26</f>
      </c>
      <c r="AD6" s="16">
        <f>'P&amp;L'!AD26</f>
      </c>
      <c r="AE6" s="16">
        <f>'P&amp;L'!AE26</f>
      </c>
      <c r="AF6" s="16">
        <f>'P&amp;L'!AF26</f>
      </c>
      <c r="AG6" s="16">
        <f>'P&amp;L'!AG26</f>
      </c>
      <c r="AH6" s="16">
        <f>'P&amp;L'!AH26</f>
      </c>
      <c r="AI6" s="16">
        <f>'P&amp;L'!AI26</f>
      </c>
      <c r="AJ6" s="16">
        <f>'P&amp;L'!AJ26</f>
      </c>
      <c r="AK6" s="16">
        <f>'P&amp;L'!AK26</f>
      </c>
      <c r="AL6" s="16">
        <f>'P&amp;L'!AL26</f>
      </c>
      <c r="AM6" s="16">
        <f>'P&amp;L'!AM26</f>
      </c>
    </row>
    <row r="7" spans="1:39" x14ac:dyDescent="0.25">
      <c r="A7" s="26" t="s">
        <v>116</v>
      </c>
      <c r="B7" t="s">
        <v>29</v>
      </c>
      <c r="C7" s="16">
        <f>AM7</f>
      </c>
      <c r="D7" s="16">
        <f>D5+D6</f>
      </c>
      <c r="E7" s="16">
        <f>E5+E6</f>
      </c>
      <c r="F7" s="16">
        <f>F5+F6</f>
      </c>
      <c r="G7" s="16">
        <f>G5+G6</f>
      </c>
      <c r="H7" s="16">
        <f>H5+H6</f>
      </c>
      <c r="I7" s="16">
        <f>I5+I6</f>
      </c>
      <c r="J7" s="16">
        <f>J5+J6</f>
      </c>
      <c r="K7" s="16">
        <f>K5+K6</f>
      </c>
      <c r="L7" s="16">
        <f>L5+L6</f>
      </c>
      <c r="M7" s="16">
        <f>M5+M6</f>
      </c>
      <c r="N7" s="16">
        <f>N5+N6</f>
      </c>
      <c r="O7" s="16">
        <f>O5+O6</f>
      </c>
      <c r="P7" s="16">
        <f>P5+P6</f>
      </c>
      <c r="Q7" s="16">
        <f>Q5+Q6</f>
      </c>
      <c r="R7" s="16">
        <f>R5+R6</f>
      </c>
      <c r="S7" s="16">
        <f>S5+S6</f>
      </c>
      <c r="T7" s="16">
        <f>T5+T6</f>
      </c>
      <c r="U7" s="16">
        <f>U5+U6</f>
      </c>
      <c r="V7" s="16">
        <f>V5+V6</f>
      </c>
      <c r="W7" s="16">
        <f>W5+W6</f>
      </c>
      <c r="X7" s="16">
        <f>X5+X6</f>
      </c>
      <c r="Y7" s="16">
        <f>Y5+Y6</f>
      </c>
      <c r="Z7" s="16">
        <f>Z5+Z6</f>
      </c>
      <c r="AA7" s="16">
        <f>AA5+AA6</f>
      </c>
      <c r="AB7" s="16">
        <f>AB5+AB6</f>
      </c>
      <c r="AC7" s="16">
        <f>AC5+AC6</f>
      </c>
      <c r="AD7" s="16">
        <f>AD5+AD6</f>
      </c>
      <c r="AE7" s="16">
        <f>AE5+AE6</f>
      </c>
      <c r="AF7" s="16">
        <f>AF5+AF6</f>
      </c>
      <c r="AG7" s="16">
        <f>AG5+AG6</f>
      </c>
      <c r="AH7" s="16">
        <f>AH5+AH6</f>
      </c>
      <c r="AI7" s="16">
        <f>AI5+AI6</f>
      </c>
      <c r="AJ7" s="16">
        <f>AJ5+AJ6</f>
      </c>
      <c r="AK7" s="16">
        <f>AK5+AK6</f>
      </c>
      <c r="AL7" s="16">
        <f>AL5+AL6</f>
      </c>
      <c r="AM7" s="16">
        <f>AM5+AM6</f>
      </c>
    </row>
    <row r="8" spans="1:39" x14ac:dyDescent="0.25">
      <c r="A8" s="26" t="s">
        <v>117</v>
      </c>
      <c r="B8" t="s">
        <v>29</v>
      </c>
      <c r="C8" s="16">
        <f>SUM(D8:AM8)</f>
      </c>
      <c r="D8" s="16">
        <f>MAX(0,-D6)</f>
      </c>
      <c r="E8" s="16">
        <f>MAX(0,-E6)</f>
      </c>
      <c r="F8" s="16">
        <f>MAX(0,-F6)</f>
      </c>
      <c r="G8" s="16">
        <f>MAX(0,-G6)</f>
      </c>
      <c r="H8" s="16">
        <f>MAX(0,-H6)</f>
      </c>
      <c r="I8" s="16">
        <f>MAX(0,-I6)</f>
      </c>
      <c r="J8" s="16">
        <f>MAX(0,-J6)</f>
      </c>
      <c r="K8" s="16">
        <f>MAX(0,-K6)</f>
      </c>
      <c r="L8" s="16">
        <f>MAX(0,-L6)</f>
      </c>
      <c r="M8" s="16">
        <f>MAX(0,-M6)</f>
      </c>
      <c r="N8" s="16">
        <f>MAX(0,-N6)</f>
      </c>
      <c r="O8" s="16">
        <f>MAX(0,-O6)</f>
      </c>
      <c r="P8" s="16">
        <f>MAX(0,-P6)</f>
      </c>
      <c r="Q8" s="16">
        <f>MAX(0,-Q6)</f>
      </c>
      <c r="R8" s="16">
        <f>MAX(0,-R6)</f>
      </c>
      <c r="S8" s="16">
        <f>MAX(0,-S6)</f>
      </c>
      <c r="T8" s="16">
        <f>MAX(0,-T6)</f>
      </c>
      <c r="U8" s="16">
        <f>MAX(0,-U6)</f>
      </c>
      <c r="V8" s="16">
        <f>MAX(0,-V6)</f>
      </c>
      <c r="W8" s="16">
        <f>MAX(0,-W6)</f>
      </c>
      <c r="X8" s="16">
        <f>MAX(0,-X6)</f>
      </c>
      <c r="Y8" s="16">
        <f>MAX(0,-Y6)</f>
      </c>
      <c r="Z8" s="16">
        <f>MAX(0,-Z6)</f>
      </c>
      <c r="AA8" s="16">
        <f>MAX(0,-AA6)</f>
      </c>
      <c r="AB8" s="16">
        <f>MAX(0,-AB6)</f>
      </c>
      <c r="AC8" s="16">
        <f>MAX(0,-AC6)</f>
      </c>
      <c r="AD8" s="16">
        <f>MAX(0,-AD6)</f>
      </c>
      <c r="AE8" s="16">
        <f>MAX(0,-AE6)</f>
      </c>
      <c r="AF8" s="16">
        <f>MAX(0,-AF6)</f>
      </c>
      <c r="AG8" s="16">
        <f>MAX(0,-AG6)</f>
      </c>
      <c r="AH8" s="16">
        <f>MAX(0,-AH6)</f>
      </c>
      <c r="AI8" s="16">
        <f>MAX(0,-AI6)</f>
      </c>
      <c r="AJ8" s="16">
        <f>MAX(0,-AJ6)</f>
      </c>
      <c r="AK8" s="16">
        <f>MAX(0,-AK6)</f>
      </c>
      <c r="AL8" s="16">
        <f>MAX(0,-AL6)</f>
      </c>
      <c r="AM8" s="16">
        <f>MAX(0,-AM6)</f>
      </c>
    </row>
    <row r="9" spans="1:39" x14ac:dyDescent="0.25">
      <c r="A9" s="26" t="s">
        <v>118</v>
      </c>
      <c r="B9" t="s">
        <v>29</v>
      </c>
      <c r="D9" s="16">
        <f>AVERAGE(D8:D8)</f>
      </c>
      <c r="E9" s="16">
        <f>AVERAGE(D8:E8)</f>
      </c>
      <c r="F9" s="16">
        <f>AVERAGE(D8:F8)</f>
      </c>
      <c r="G9" s="16">
        <f>AVERAGE(E8:G8)</f>
      </c>
      <c r="H9" s="16">
        <f>AVERAGE(F8:H8)</f>
      </c>
      <c r="I9" s="16">
        <f>AVERAGE(G8:I8)</f>
      </c>
      <c r="J9" s="16">
        <f>AVERAGE(H8:J8)</f>
      </c>
      <c r="K9" s="16">
        <f>AVERAGE(I8:K8)</f>
      </c>
      <c r="L9" s="16">
        <f>AVERAGE(J8:L8)</f>
      </c>
      <c r="M9" s="16">
        <f>AVERAGE(K8:M8)</f>
      </c>
      <c r="N9" s="16">
        <f>AVERAGE(L8:N8)</f>
      </c>
      <c r="O9" s="16">
        <f>AVERAGE(M8:O8)</f>
      </c>
      <c r="P9" s="16">
        <f>AVERAGE(N8:P8)</f>
      </c>
      <c r="Q9" s="16">
        <f>AVERAGE(O8:Q8)</f>
      </c>
      <c r="R9" s="16">
        <f>AVERAGE(P8:R8)</f>
      </c>
      <c r="S9" s="16">
        <f>AVERAGE(Q8:S8)</f>
      </c>
      <c r="T9" s="16">
        <f>AVERAGE(R8:T8)</f>
      </c>
      <c r="U9" s="16">
        <f>AVERAGE(S8:U8)</f>
      </c>
      <c r="V9" s="16">
        <f>AVERAGE(T8:V8)</f>
      </c>
      <c r="W9" s="16">
        <f>AVERAGE(U8:W8)</f>
      </c>
      <c r="X9" s="16">
        <f>AVERAGE(V8:X8)</f>
      </c>
      <c r="Y9" s="16">
        <f>AVERAGE(W8:Y8)</f>
      </c>
      <c r="Z9" s="16">
        <f>AVERAGE(X8:Z8)</f>
      </c>
      <c r="AA9" s="16">
        <f>AVERAGE(Y8:AA8)</f>
      </c>
      <c r="AB9" s="16">
        <f>AVERAGE(Z8:AB8)</f>
      </c>
      <c r="AC9" s="16">
        <f>AVERAGE(AA8:AC8)</f>
      </c>
      <c r="AD9" s="16">
        <f>AVERAGE(AB8:AD8)</f>
      </c>
      <c r="AE9" s="16">
        <f>AVERAGE(AC8:AE8)</f>
      </c>
      <c r="AF9" s="16">
        <f>AVERAGE(AD8:AF8)</f>
      </c>
      <c r="AG9" s="16">
        <f>AVERAGE(AE8:AG8)</f>
      </c>
      <c r="AH9" s="16">
        <f>AVERAGE(AF8:AH8)</f>
      </c>
      <c r="AI9" s="16">
        <f>AVERAGE(AG8:AI8)</f>
      </c>
      <c r="AJ9" s="16">
        <f>AVERAGE(AH8:AJ8)</f>
      </c>
      <c r="AK9" s="16">
        <f>AVERAGE(AI8:AK8)</f>
      </c>
      <c r="AL9" s="16">
        <f>AVERAGE(AJ8:AL8)</f>
      </c>
      <c r="AM9" s="16">
        <f>AVERAGE(AK8:AM8)</f>
      </c>
    </row>
    <row r="10" spans="1:39" x14ac:dyDescent="0.25">
      <c r="A10" s="26" t="s">
        <v>119</v>
      </c>
      <c r="B10" t="s">
        <v>42</v>
      </c>
      <c r="D10" s="28">
        <f>IF(D7&lt;=0,0,IFERROR(D7/D9,"-"))</f>
      </c>
      <c r="E10" s="28">
        <f>IF(E7&lt;=0,0,IFERROR(E7/E9,"-"))</f>
      </c>
      <c r="F10" s="28">
        <f>IF(F7&lt;=0,0,IFERROR(F7/F9,"-"))</f>
      </c>
      <c r="G10" s="28">
        <f>IF(G7&lt;=0,0,IFERROR(G7/G9,"-"))</f>
      </c>
      <c r="H10" s="28">
        <f>IF(H7&lt;=0,0,IFERROR(H7/H9,"-"))</f>
      </c>
      <c r="I10" s="28">
        <f>IF(I7&lt;=0,0,IFERROR(I7/I9,"-"))</f>
      </c>
      <c r="J10" s="28">
        <f>IF(J7&lt;=0,0,IFERROR(J7/J9,"-"))</f>
      </c>
      <c r="K10" s="28">
        <f>IF(K7&lt;=0,0,IFERROR(K7/K9,"-"))</f>
      </c>
      <c r="L10" s="28">
        <f>IF(L7&lt;=0,0,IFERROR(L7/L9,"-"))</f>
      </c>
      <c r="M10" s="28">
        <f>IF(M7&lt;=0,0,IFERROR(M7/M9,"-"))</f>
      </c>
      <c r="N10" s="28">
        <f>IF(N7&lt;=0,0,IFERROR(N7/N9,"-"))</f>
      </c>
      <c r="O10" s="28">
        <f>IF(O7&lt;=0,0,IFERROR(O7/O9,"-"))</f>
      </c>
      <c r="P10" s="28">
        <f>IF(P7&lt;=0,0,IFERROR(P7/P9,"-"))</f>
      </c>
      <c r="Q10" s="28">
        <f>IF(Q7&lt;=0,0,IFERROR(Q7/Q9,"-"))</f>
      </c>
      <c r="R10" s="28">
        <f>IF(R7&lt;=0,0,IFERROR(R7/R9,"-"))</f>
      </c>
      <c r="S10" s="28">
        <f>IF(S7&lt;=0,0,IFERROR(S7/S9,"-"))</f>
      </c>
      <c r="T10" s="28">
        <f>IF(T7&lt;=0,0,IFERROR(T7/T9,"-"))</f>
      </c>
      <c r="U10" s="28">
        <f>IF(U7&lt;=0,0,IFERROR(U7/U9,"-"))</f>
      </c>
      <c r="V10" s="28">
        <f>IF(V7&lt;=0,0,IFERROR(V7/V9,"-"))</f>
      </c>
      <c r="W10" s="28">
        <f>IF(W7&lt;=0,0,IFERROR(W7/W9,"-"))</f>
      </c>
      <c r="X10" s="28">
        <f>IF(X7&lt;=0,0,IFERROR(X7/X9,"-"))</f>
      </c>
      <c r="Y10" s="28">
        <f>IF(Y7&lt;=0,0,IFERROR(Y7/Y9,"-"))</f>
      </c>
      <c r="Z10" s="28">
        <f>IF(Z7&lt;=0,0,IFERROR(Z7/Z9,"-"))</f>
      </c>
      <c r="AA10" s="28">
        <f>IF(AA7&lt;=0,0,IFERROR(AA7/AA9,"-"))</f>
      </c>
      <c r="AB10" s="28">
        <f>IF(AB7&lt;=0,0,IFERROR(AB7/AB9,"-"))</f>
      </c>
      <c r="AC10" s="28">
        <f>IF(AC7&lt;=0,0,IFERROR(AC7/AC9,"-"))</f>
      </c>
      <c r="AD10" s="28">
        <f>IF(AD7&lt;=0,0,IFERROR(AD7/AD9,"-"))</f>
      </c>
      <c r="AE10" s="28">
        <f>IF(AE7&lt;=0,0,IFERROR(AE7/AE9,"-"))</f>
      </c>
      <c r="AF10" s="28">
        <f>IF(AF7&lt;=0,0,IFERROR(AF7/AF9,"-"))</f>
      </c>
      <c r="AG10" s="28">
        <f>IF(AG7&lt;=0,0,IFERROR(AG7/AG9,"-"))</f>
      </c>
      <c r="AH10" s="28">
        <f>IF(AH7&lt;=0,0,IFERROR(AH7/AH9,"-"))</f>
      </c>
      <c r="AI10" s="28">
        <f>IF(AI7&lt;=0,0,IFERROR(AI7/AI9,"-"))</f>
      </c>
      <c r="AJ10" s="28">
        <f>IF(AJ7&lt;=0,0,IFERROR(AJ7/AJ9,"-"))</f>
      </c>
      <c r="AK10" s="28">
        <f>IF(AK7&lt;=0,0,IFERROR(AK7/AK9,"-"))</f>
      </c>
      <c r="AL10" s="28">
        <f>IF(AL7&lt;=0,0,IFERROR(AL7/AL9,"-"))</f>
      </c>
      <c r="AM10" s="28">
        <f>IF(AM7&lt;=0,0,IFERROR(AM7/AM9,"-"))</f>
      </c>
    </row>
    <row r="11" spans="1:39" x14ac:dyDescent="0.25">
      <c r="A11" s="26" t="s">
        <v>120</v>
      </c>
      <c r="B11" t="s">
        <v>121</v>
      </c>
      <c r="C11" s="21">
        <f>SUM(D11:AM11)</f>
      </c>
      <c r="D11" s="21">
        <f>IF(D7&lt;0,1,0)</f>
      </c>
      <c r="E11" s="21">
        <f>IF(E7&lt;0,1,0)</f>
      </c>
      <c r="F11" s="21">
        <f>IF(F7&lt;0,1,0)</f>
      </c>
      <c r="G11" s="21">
        <f>IF(G7&lt;0,1,0)</f>
      </c>
      <c r="H11" s="21">
        <f>IF(H7&lt;0,1,0)</f>
      </c>
      <c r="I11" s="21">
        <f>IF(I7&lt;0,1,0)</f>
      </c>
      <c r="J11" s="21">
        <f>IF(J7&lt;0,1,0)</f>
      </c>
      <c r="K11" s="21">
        <f>IF(K7&lt;0,1,0)</f>
      </c>
      <c r="L11" s="21">
        <f>IF(L7&lt;0,1,0)</f>
      </c>
      <c r="M11" s="21">
        <f>IF(M7&lt;0,1,0)</f>
      </c>
      <c r="N11" s="21">
        <f>IF(N7&lt;0,1,0)</f>
      </c>
      <c r="O11" s="21">
        <f>IF(O7&lt;0,1,0)</f>
      </c>
      <c r="P11" s="21">
        <f>IF(P7&lt;0,1,0)</f>
      </c>
      <c r="Q11" s="21">
        <f>IF(Q7&lt;0,1,0)</f>
      </c>
      <c r="R11" s="21">
        <f>IF(R7&lt;0,1,0)</f>
      </c>
      <c r="S11" s="21">
        <f>IF(S7&lt;0,1,0)</f>
      </c>
      <c r="T11" s="21">
        <f>IF(T7&lt;0,1,0)</f>
      </c>
      <c r="U11" s="21">
        <f>IF(U7&lt;0,1,0)</f>
      </c>
      <c r="V11" s="21">
        <f>IF(V7&lt;0,1,0)</f>
      </c>
      <c r="W11" s="21">
        <f>IF(W7&lt;0,1,0)</f>
      </c>
      <c r="X11" s="21">
        <f>IF(X7&lt;0,1,0)</f>
      </c>
      <c r="Y11" s="21">
        <f>IF(Y7&lt;0,1,0)</f>
      </c>
      <c r="Z11" s="21">
        <f>IF(Z7&lt;0,1,0)</f>
      </c>
      <c r="AA11" s="21">
        <f>IF(AA7&lt;0,1,0)</f>
      </c>
      <c r="AB11" s="21">
        <f>IF(AB7&lt;0,1,0)</f>
      </c>
      <c r="AC11" s="21">
        <f>IF(AC7&lt;0,1,0)</f>
      </c>
      <c r="AD11" s="21">
        <f>IF(AD7&lt;0,1,0)</f>
      </c>
      <c r="AE11" s="21">
        <f>IF(AE7&lt;0,1,0)</f>
      </c>
      <c r="AF11" s="21">
        <f>IF(AF7&lt;0,1,0)</f>
      </c>
      <c r="AG11" s="21">
        <f>IF(AG7&lt;0,1,0)</f>
      </c>
      <c r="AH11" s="21">
        <f>IF(AH7&lt;0,1,0)</f>
      </c>
      <c r="AI11" s="21">
        <f>IF(AI7&lt;0,1,0)</f>
      </c>
      <c r="AJ11" s="21">
        <f>IF(AJ7&lt;0,1,0)</f>
      </c>
      <c r="AK11" s="21">
        <f>IF(AK7&lt;0,1,0)</f>
      </c>
      <c r="AL11" s="21">
        <f>IF(AL7&lt;0,1,0)</f>
      </c>
      <c r="AM11" s="21">
        <f>IF(AM7&lt;0,1,0)</f>
      </c>
    </row>
    <row r="14" spans="1:3" x14ac:dyDescent="0.25">
      <c r="A14" s="7" t="s">
        <v>122</v>
      </c>
      <c r="C14" s="16">
        <f>MIN(D7:AM7)</f>
      </c>
    </row>
    <row r="15" spans="1:3" x14ac:dyDescent="0.25">
      <c r="A15" s="7" t="s">
        <v>123</v>
      </c>
      <c r="C15" s="21">
        <f>IFERROR(MATCH(1,D11:AM11,0),"жоқ")</f>
      </c>
    </row>
    <row r="16" spans="1:3" x14ac:dyDescent="0.25">
      <c r="A16" s="7" t="s">
        <v>124</v>
      </c>
      <c r="C16" s="16">
        <f>MAX(0,-C14)</f>
      </c>
    </row>
    <row r="17" spans="1:3" x14ac:dyDescent="0.25">
      <c r="A17" s="7" t="s">
        <v>125</v>
      </c>
      <c r="C17" s="16">
        <f>AM7</f>
      </c>
    </row>
    <row r="18" spans="1:1" x14ac:dyDescent="0.25">
      <c r="A18" s="29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17"/>
  <sheetFormatPr defaultRowHeight="15" outlineLevelRow="0" outlineLevelCol="0" x14ac:dyDescent="55"/>
  <cols>
    <col min="1" max="1" width="52" customWidth="1"/>
    <col min="2" max="2" width="14" customWidth="1"/>
    <col min="3" max="3" width="18" customWidth="1"/>
    <col min="4" max="4" width="70" customWidth="1"/>
  </cols>
  <sheetData>
    <row r="1" spans="1:1" x14ac:dyDescent="0.25">
      <c r="A1" s="6" t="s">
        <v>127</v>
      </c>
    </row>
    <row r="2" spans="1:1" x14ac:dyDescent="0.25">
      <c r="A2" s="11" t="s">
        <v>128</v>
      </c>
    </row>
    <row r="4" spans="1:4" x14ac:dyDescent="0.25">
      <c r="A4" s="12" t="s">
        <v>63</v>
      </c>
      <c r="B4" s="12" t="s">
        <v>22</v>
      </c>
      <c r="C4" s="12" t="s">
        <v>129</v>
      </c>
      <c r="D4" s="12" t="s">
        <v>130</v>
      </c>
    </row>
    <row r="5" spans="1:4" x14ac:dyDescent="0.25">
      <c r="A5" t="s">
        <v>131</v>
      </c>
      <c r="B5" t="s">
        <v>73</v>
      </c>
      <c r="C5" s="16">
        <f>N('Болжамдар'!$F$7)*N('Болжамдар'!$F$6)/12</f>
      </c>
      <c r="D5" s="17" t="s">
        <v>132</v>
      </c>
    </row>
    <row r="6" spans="1:4" x14ac:dyDescent="0.25">
      <c r="A6" t="s">
        <v>133</v>
      </c>
      <c r="B6" t="s">
        <v>73</v>
      </c>
      <c r="C6" s="16">
        <f>N('Болжамдар'!$F$16)</f>
      </c>
      <c r="D6" s="17" t="s">
        <v>3</v>
      </c>
    </row>
    <row r="7" spans="1:4" x14ac:dyDescent="0.25">
      <c r="A7" t="s">
        <v>134</v>
      </c>
      <c r="B7" t="s">
        <v>73</v>
      </c>
      <c r="C7" s="16">
        <f>N('Болжамдар'!$F$17)*N('Болжамдар'!$F$18)</f>
      </c>
      <c r="D7" s="17" t="s">
        <v>135</v>
      </c>
    </row>
    <row r="8" spans="1:4" x14ac:dyDescent="0.25">
      <c r="A8" t="s">
        <v>136</v>
      </c>
      <c r="B8" t="s">
        <v>73</v>
      </c>
      <c r="C8" s="16">
        <f>C5*N('Болжамдар'!$F$19)</f>
      </c>
      <c r="D8" s="17" t="s">
        <v>137</v>
      </c>
    </row>
    <row r="9" spans="1:4" x14ac:dyDescent="0.25">
      <c r="A9" t="s">
        <v>138</v>
      </c>
      <c r="B9" t="s">
        <v>73</v>
      </c>
      <c r="C9" s="16">
        <f>C5-C6-C7-C8</f>
      </c>
      <c r="D9" s="17" t="s">
        <v>139</v>
      </c>
    </row>
    <row r="10" spans="1:4" x14ac:dyDescent="0.25">
      <c r="A10" t="s">
        <v>140</v>
      </c>
      <c r="B10" t="s">
        <v>39</v>
      </c>
      <c r="C10" s="19">
        <f>N('Болжамдар'!$F$14)</f>
      </c>
      <c r="D10" s="17" t="s">
        <v>3</v>
      </c>
    </row>
    <row r="11" spans="1:4" x14ac:dyDescent="0.25">
      <c r="A11" t="s">
        <v>141</v>
      </c>
      <c r="B11" t="s">
        <v>42</v>
      </c>
      <c r="C11" s="28">
        <f>IFERROR(1/C10,"-")</f>
      </c>
      <c r="D11" s="17" t="s">
        <v>142</v>
      </c>
    </row>
    <row r="12" spans="1:4" x14ac:dyDescent="0.25">
      <c r="A12" t="s">
        <v>143</v>
      </c>
      <c r="B12" t="s">
        <v>29</v>
      </c>
      <c r="C12" s="16">
        <f>IFERROR(C9/C10,"-")</f>
      </c>
      <c r="D12" s="17" t="s">
        <v>144</v>
      </c>
    </row>
    <row r="13" spans="1:4" x14ac:dyDescent="0.25">
      <c r="A13" t="s">
        <v>145</v>
      </c>
      <c r="B13" t="s">
        <v>29</v>
      </c>
      <c r="C13" s="16">
        <f>IFERROR('Шығын'!C12/'Кіріс'!C8,"-")</f>
      </c>
      <c r="D13" s="17" t="s">
        <v>146</v>
      </c>
    </row>
    <row r="14" spans="1:4" x14ac:dyDescent="0.25">
      <c r="A14" t="s">
        <v>147</v>
      </c>
      <c r="B14" t="s">
        <v>148</v>
      </c>
      <c r="C14" s="30">
        <f>IFERROR(C12/C13,"-")</f>
      </c>
      <c r="D14" s="17" t="s">
        <v>3</v>
      </c>
    </row>
    <row r="15" spans="1:4" x14ac:dyDescent="0.25">
      <c r="A15" t="s">
        <v>149</v>
      </c>
      <c r="B15" t="s">
        <v>42</v>
      </c>
      <c r="C15" s="28">
        <f>IFERROR(C13/C9,"-")</f>
      </c>
      <c r="D15" s="17" t="s">
        <v>150</v>
      </c>
    </row>
    <row r="16" spans="1:4" x14ac:dyDescent="0.25">
      <c r="A16" t="s">
        <v>151</v>
      </c>
      <c r="B16" t="s">
        <v>73</v>
      </c>
      <c r="C16" s="16">
        <f>('Шығын'!C8+'Шығын'!C10+'Шығын'!C11+'Шығын'!C12)/36</f>
      </c>
      <c r="D16" s="17" t="s">
        <v>152</v>
      </c>
    </row>
    <row r="17" spans="1:4" x14ac:dyDescent="0.25">
      <c r="A17" t="s">
        <v>153</v>
      </c>
      <c r="B17" t="s">
        <v>34</v>
      </c>
      <c r="C17" s="23">
        <f>IFERROR(C16/C9,"-")</f>
      </c>
      <c r="D17" s="17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</sheetPr>
  <dimension ref="A1:F24"/>
  <sheetFormatPr defaultRowHeight="15" outlineLevelRow="0" outlineLevelCol="0" x14ac:dyDescent="55"/>
  <cols>
    <col min="1" max="1" width="36" customWidth="1"/>
    <col min="2" max="7" width="18" customWidth="1"/>
  </cols>
  <sheetData>
    <row r="1" spans="1:1" x14ac:dyDescent="0.25">
      <c r="A1" s="6" t="s">
        <v>155</v>
      </c>
    </row>
    <row r="2" spans="1:1" x14ac:dyDescent="0.25">
      <c r="A2" s="11" t="s">
        <v>156</v>
      </c>
    </row>
    <row r="4" spans="1:1" x14ac:dyDescent="0.25">
      <c r="A4" s="31" t="s">
        <v>157</v>
      </c>
    </row>
    <row r="5" spans="1:6" x14ac:dyDescent="0.25">
      <c r="A5" s="29" t="s">
        <v>158</v>
      </c>
      <c r="B5" s="15"/>
      <c r="C5" s="15"/>
      <c r="D5" s="15"/>
      <c r="E5" s="15"/>
      <c r="F5" s="15"/>
    </row>
    <row r="6" spans="1:6" x14ac:dyDescent="0.25">
      <c r="A6" s="15"/>
      <c r="B6" s="16">
        <f>N('Кіріс'!$C$10)*N(B$5)*N($A6)</f>
      </c>
      <c r="C6" s="16">
        <f>N('Кіріс'!$C$10)*N(C$5)*N($A6)</f>
      </c>
      <c r="D6" s="16">
        <f>N('Кіріс'!$C$10)*N(D$5)*N($A6)</f>
      </c>
      <c r="E6" s="16">
        <f>N('Кіріс'!$C$10)*N(E$5)*N($A6)</f>
      </c>
      <c r="F6" s="16">
        <f>N('Кіріс'!$C$10)*N(F$5)*N($A6)</f>
      </c>
    </row>
    <row r="7" spans="1:6" x14ac:dyDescent="0.25">
      <c r="A7" s="15"/>
      <c r="B7" s="16">
        <f>N('Кіріс'!$C$10)*N(B$5)*N($A7)</f>
      </c>
      <c r="C7" s="16">
        <f>N('Кіріс'!$C$10)*N(C$5)*N($A7)</f>
      </c>
      <c r="D7" s="16">
        <f>N('Кіріс'!$C$10)*N(D$5)*N($A7)</f>
      </c>
      <c r="E7" s="16">
        <f>N('Кіріс'!$C$10)*N(E$5)*N($A7)</f>
      </c>
      <c r="F7" s="16">
        <f>N('Кіріс'!$C$10)*N(F$5)*N($A7)</f>
      </c>
    </row>
    <row r="8" spans="1:6" x14ac:dyDescent="0.25">
      <c r="A8" s="15"/>
      <c r="B8" s="16">
        <f>N('Кіріс'!$C$10)*N(B$5)*N($A8)</f>
      </c>
      <c r="C8" s="16">
        <f>N('Кіріс'!$C$10)*N(C$5)*N($A8)</f>
      </c>
      <c r="D8" s="16">
        <f>N('Кіріс'!$C$10)*N(D$5)*N($A8)</f>
      </c>
      <c r="E8" s="16">
        <f>N('Кіріс'!$C$10)*N(E$5)*N($A8)</f>
      </c>
      <c r="F8" s="16">
        <f>N('Кіріс'!$C$10)*N(F$5)*N($A8)</f>
      </c>
    </row>
    <row r="9" spans="1:6" x14ac:dyDescent="0.25">
      <c r="A9" s="15"/>
      <c r="B9" s="16">
        <f>N('Кіріс'!$C$10)*N(B$5)*N($A9)</f>
      </c>
      <c r="C9" s="16">
        <f>N('Кіріс'!$C$10)*N(C$5)*N($A9)</f>
      </c>
      <c r="D9" s="16">
        <f>N('Кіріс'!$C$10)*N(D$5)*N($A9)</f>
      </c>
      <c r="E9" s="16">
        <f>N('Кіріс'!$C$10)*N(E$5)*N($A9)</f>
      </c>
      <c r="F9" s="16">
        <f>N('Кіріс'!$C$10)*N(F$5)*N($A9)</f>
      </c>
    </row>
    <row r="10" spans="1:6" x14ac:dyDescent="0.25">
      <c r="A10" s="15"/>
      <c r="B10" s="16">
        <f>N('Кіріс'!$C$10)*N(B$5)*N($A10)</f>
      </c>
      <c r="C10" s="16">
        <f>N('Кіріс'!$C$10)*N(C$5)*N($A10)</f>
      </c>
      <c r="D10" s="16">
        <f>N('Кіріс'!$C$10)*N(D$5)*N($A10)</f>
      </c>
      <c r="E10" s="16">
        <f>N('Кіріс'!$C$10)*N(E$5)*N($A10)</f>
      </c>
      <c r="F10" s="16">
        <f>N('Кіріс'!$C$10)*N(F$5)*N($A10)</f>
      </c>
    </row>
    <row r="14" spans="1:1" x14ac:dyDescent="0.25">
      <c r="A14" s="31" t="s">
        <v>159</v>
      </c>
    </row>
    <row r="15" spans="1:6" x14ac:dyDescent="0.25">
      <c r="A15" s="29" t="s">
        <v>158</v>
      </c>
      <c r="B15" s="15"/>
      <c r="C15" s="15"/>
      <c r="D15" s="15"/>
      <c r="E15" s="15"/>
      <c r="F15" s="15"/>
    </row>
    <row r="16" spans="1:6" x14ac:dyDescent="0.25">
      <c r="A16" s="15"/>
      <c r="B16" s="16">
        <f>N('Кіріс'!AM10)*N(B$15)*N($A16)/12*(1-N('Болжамдар'!$F$19))-('Шығын'!AM14-'Шығын'!AM13)</f>
      </c>
      <c r="C16" s="16">
        <f>N('Кіріс'!AM10)*N(C$15)*N($A16)/12*(1-N('Болжамдар'!$F$19))-('Шығын'!AM14-'Шығын'!AM13)</f>
      </c>
      <c r="D16" s="16">
        <f>N('Кіріс'!AM10)*N(D$15)*N($A16)/12*(1-N('Болжамдар'!$F$19))-('Шығын'!AM14-'Шығын'!AM13)</f>
      </c>
      <c r="E16" s="16">
        <f>N('Кіріс'!AM10)*N(E$15)*N($A16)/12*(1-N('Болжамдар'!$F$19))-('Шығын'!AM14-'Шығын'!AM13)</f>
      </c>
      <c r="F16" s="16">
        <f>N('Кіріс'!AM10)*N(F$15)*N($A16)/12*(1-N('Болжамдар'!$F$19))-('Шығын'!AM14-'Шығын'!AM13)</f>
      </c>
    </row>
    <row r="17" spans="1:6" x14ac:dyDescent="0.25">
      <c r="A17" s="15"/>
      <c r="B17" s="16">
        <f>N('Кіріс'!AM10)*N(B$15)*N($A17)/12*(1-N('Болжамдар'!$F$19))-('Шығын'!AM14-'Шығын'!AM13)</f>
      </c>
      <c r="C17" s="16">
        <f>N('Кіріс'!AM10)*N(C$15)*N($A17)/12*(1-N('Болжамдар'!$F$19))-('Шығын'!AM14-'Шығын'!AM13)</f>
      </c>
      <c r="D17" s="16">
        <f>N('Кіріс'!AM10)*N(D$15)*N($A17)/12*(1-N('Болжамдар'!$F$19))-('Шығын'!AM14-'Шығын'!AM13)</f>
      </c>
      <c r="E17" s="16">
        <f>N('Кіріс'!AM10)*N(E$15)*N($A17)/12*(1-N('Болжамдар'!$F$19))-('Шығын'!AM14-'Шығын'!AM13)</f>
      </c>
      <c r="F17" s="16">
        <f>N('Кіріс'!AM10)*N(F$15)*N($A17)/12*(1-N('Болжамдар'!$F$19))-('Шығын'!AM14-'Шығын'!AM13)</f>
      </c>
    </row>
    <row r="18" spans="1:6" x14ac:dyDescent="0.25">
      <c r="A18" s="15"/>
      <c r="B18" s="16">
        <f>N('Кіріс'!AM10)*N(B$15)*N($A18)/12*(1-N('Болжамдар'!$F$19))-('Шығын'!AM14-'Шығын'!AM13)</f>
      </c>
      <c r="C18" s="16">
        <f>N('Кіріс'!AM10)*N(C$15)*N($A18)/12*(1-N('Болжамдар'!$F$19))-('Шығын'!AM14-'Шығын'!AM13)</f>
      </c>
      <c r="D18" s="16">
        <f>N('Кіріс'!AM10)*N(D$15)*N($A18)/12*(1-N('Болжамдар'!$F$19))-('Шығын'!AM14-'Шығын'!AM13)</f>
      </c>
      <c r="E18" s="16">
        <f>N('Кіріс'!AM10)*N(E$15)*N($A18)/12*(1-N('Болжамдар'!$F$19))-('Шығын'!AM14-'Шығын'!AM13)</f>
      </c>
      <c r="F18" s="16">
        <f>N('Кіріс'!AM10)*N(F$15)*N($A18)/12*(1-N('Болжамдар'!$F$19))-('Шығын'!AM14-'Шығын'!AM13)</f>
      </c>
    </row>
    <row r="19" spans="1:6" x14ac:dyDescent="0.25">
      <c r="A19" s="15"/>
      <c r="B19" s="16">
        <f>N('Кіріс'!AM10)*N(B$15)*N($A19)/12*(1-N('Болжамдар'!$F$19))-('Шығын'!AM14-'Шығын'!AM13)</f>
      </c>
      <c r="C19" s="16">
        <f>N('Кіріс'!AM10)*N(C$15)*N($A19)/12*(1-N('Болжамдар'!$F$19))-('Шығын'!AM14-'Шығын'!AM13)</f>
      </c>
      <c r="D19" s="16">
        <f>N('Кіріс'!AM10)*N(D$15)*N($A19)/12*(1-N('Болжамдар'!$F$19))-('Шығын'!AM14-'Шығын'!AM13)</f>
      </c>
      <c r="E19" s="16">
        <f>N('Кіріс'!AM10)*N(E$15)*N($A19)/12*(1-N('Болжамдар'!$F$19))-('Шығын'!AM14-'Шығын'!AM13)</f>
      </c>
      <c r="F19" s="16">
        <f>N('Кіріс'!AM10)*N(F$15)*N($A19)/12*(1-N('Болжамдар'!$F$19))-('Шығын'!AM14-'Шығын'!AM13)</f>
      </c>
    </row>
    <row r="20" spans="1:6" x14ac:dyDescent="0.25">
      <c r="A20" s="15"/>
      <c r="B20" s="16">
        <f>N('Кіріс'!AM10)*N(B$15)*N($A20)/12*(1-N('Болжамдар'!$F$19))-('Шығын'!AM14-'Шығын'!AM13)</f>
      </c>
      <c r="C20" s="16">
        <f>N('Кіріс'!AM10)*N(C$15)*N($A20)/12*(1-N('Болжамдар'!$F$19))-('Шығын'!AM14-'Шығын'!AM13)</f>
      </c>
      <c r="D20" s="16">
        <f>N('Кіріс'!AM10)*N(D$15)*N($A20)/12*(1-N('Болжамдар'!$F$19))-('Шығын'!AM14-'Шығын'!AM13)</f>
      </c>
      <c r="E20" s="16">
        <f>N('Кіріс'!AM10)*N(E$15)*N($A20)/12*(1-N('Болжамдар'!$F$19))-('Шығын'!AM14-'Шығын'!AM13)</f>
      </c>
      <c r="F20" s="16">
        <f>N('Кіріс'!AM10)*N(F$15)*N($A20)/12*(1-N('Болжамдар'!$F$19))-('Шығын'!AM14-'Шығын'!AM13)</f>
      </c>
    </row>
    <row r="24" spans="1:1" x14ac:dyDescent="0.25">
      <c r="A24" s="29" t="s">
        <v>160</v>
      </c>
    </row>
  </sheetData>
  <dataValidations count="5">
    <dataValidation type="decimal" operator="greaterThanOrEqual" allowBlank="1" showErrorMessage="1" errorTitle="Сан" error="0 немесе одан үлкен" sqref="A10">
      <formula1>0</formula1>
    </dataValidation>
    <dataValidation type="decimal" operator="greaterThanOrEqual" allowBlank="1" showErrorMessage="1" errorTitle="Сан" error="0 немесе одан үлкен" sqref="A16:A20">
      <formula1>0</formula1>
    </dataValidation>
    <dataValidation type="decimal" operator="greaterThanOrEqual" allowBlank="1" showErrorMessage="1" errorTitle="Сан" error="0 немесе одан үлкен" sqref="A6:A10">
      <formula1>0</formula1>
    </dataValidation>
    <dataValidation type="decimal" operator="greaterThanOrEqual" allowBlank="1" showErrorMessage="1" errorTitle="Сан" error="0 немесе одан үлкен" sqref="B15:F15">
      <formula1>0</formula1>
    </dataValidation>
    <dataValidation type="decimal" operator="greaterThanOrEqual" allowBlank="1" showErrorMessage="1" errorTitle="Сан" error="0 немесе одан үлкен" sqref="B5:F5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Оқы мені</vt:lpstr>
      <vt:lpstr>Болжамдар</vt:lpstr>
      <vt:lpstr>Кіріс</vt:lpstr>
      <vt:lpstr>Шығын</vt:lpstr>
      <vt:lpstr>P&amp;L</vt:lpstr>
      <vt:lpstr>Cash және runway</vt:lpstr>
      <vt:lpstr>Бірлік экономикасы</vt:lpstr>
      <vt:lpstr>Сезімталдық кестесі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QazaqCode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2026-10-19T09:44:53Z</dcterms:modified>
</cp:coreProperties>
</file>